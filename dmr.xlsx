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swa\Downloads\"/>
    </mc:Choice>
  </mc:AlternateContent>
  <xr:revisionPtr revIDLastSave="0" documentId="8_{6DE240F3-242D-40F7-B412-C171957649B0}" xr6:coauthVersionLast="47" xr6:coauthVersionMax="47" xr10:uidLastSave="{00000000-0000-0000-0000-000000000000}"/>
  <bookViews>
    <workbookView xWindow="-108" yWindow="-108" windowWidth="23256" windowHeight="12456" xr2:uid="{FCD0DFC1-5EDA-4F60-97D8-A8EA7CC39DFD}"/>
  </bookViews>
  <sheets>
    <sheet name="28-02-2025" sheetId="1" r:id="rId1"/>
  </sheets>
  <definedNames>
    <definedName name="_xlnm._FilterDatabase" localSheetId="0" hidden="1">'28-02-2025'!$A$1:$X$144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V3" i="1"/>
  <c r="W3" i="1"/>
  <c r="Q4" i="1"/>
  <c r="V4" i="1"/>
  <c r="W4" i="1"/>
  <c r="Q5" i="1"/>
  <c r="V5" i="1"/>
  <c r="W5" i="1"/>
  <c r="Q6" i="1"/>
  <c r="V6" i="1"/>
  <c r="W6" i="1"/>
  <c r="Q7" i="1"/>
  <c r="V7" i="1"/>
  <c r="W7" i="1"/>
  <c r="Q8" i="1"/>
  <c r="V8" i="1"/>
  <c r="W8" i="1"/>
  <c r="Q9" i="1"/>
  <c r="V9" i="1"/>
  <c r="W9" i="1"/>
  <c r="Q10" i="1"/>
  <c r="V10" i="1"/>
  <c r="W10" i="1"/>
  <c r="Q12" i="1"/>
  <c r="V12" i="1"/>
  <c r="W12" i="1"/>
  <c r="Q13" i="1"/>
  <c r="V13" i="1"/>
  <c r="W13" i="1"/>
  <c r="Q14" i="1"/>
  <c r="V14" i="1"/>
  <c r="W14" i="1"/>
  <c r="Q15" i="1"/>
  <c r="V15" i="1"/>
  <c r="W15" i="1"/>
  <c r="Q16" i="1"/>
  <c r="V16" i="1"/>
  <c r="W16" i="1"/>
  <c r="Q18" i="1"/>
  <c r="V18" i="1"/>
  <c r="W18" i="1"/>
  <c r="Q19" i="1"/>
  <c r="V19" i="1"/>
  <c r="W19" i="1"/>
  <c r="Q20" i="1"/>
  <c r="V20" i="1"/>
  <c r="W20" i="1"/>
  <c r="Q21" i="1"/>
  <c r="V21" i="1"/>
  <c r="W21" i="1"/>
  <c r="Q22" i="1"/>
  <c r="V22" i="1"/>
  <c r="W22" i="1"/>
  <c r="Q23" i="1"/>
  <c r="V23" i="1"/>
  <c r="W23" i="1" s="1"/>
  <c r="Q24" i="1"/>
  <c r="V24" i="1"/>
  <c r="W24" i="1"/>
  <c r="Q25" i="1"/>
  <c r="V25" i="1"/>
  <c r="W25" i="1"/>
  <c r="Q26" i="1"/>
  <c r="V26" i="1"/>
  <c r="W26" i="1"/>
  <c r="Q27" i="1"/>
  <c r="V27" i="1"/>
  <c r="W27" i="1"/>
  <c r="Q28" i="1"/>
  <c r="V28" i="1"/>
  <c r="W28" i="1"/>
  <c r="Q29" i="1"/>
  <c r="V29" i="1"/>
  <c r="W29" i="1"/>
  <c r="Q30" i="1"/>
  <c r="V30" i="1"/>
  <c r="W30" i="1"/>
  <c r="Q31" i="1"/>
  <c r="V31" i="1"/>
  <c r="W31" i="1" s="1"/>
  <c r="Q34" i="1"/>
  <c r="V34" i="1"/>
  <c r="W34" i="1"/>
  <c r="Q35" i="1"/>
  <c r="V35" i="1"/>
  <c r="W35" i="1"/>
  <c r="Q37" i="1"/>
  <c r="V37" i="1"/>
  <c r="W37" i="1"/>
  <c r="Q38" i="1"/>
  <c r="V38" i="1"/>
  <c r="W38" i="1"/>
  <c r="Q39" i="1"/>
  <c r="V39" i="1"/>
  <c r="W39" i="1"/>
  <c r="Q40" i="1"/>
  <c r="Q41" i="1"/>
  <c r="V41" i="1"/>
  <c r="W41" i="1" s="1"/>
  <c r="Q42" i="1"/>
  <c r="V42" i="1"/>
  <c r="W42" i="1"/>
  <c r="Q43" i="1"/>
  <c r="V43" i="1"/>
  <c r="W43" i="1"/>
  <c r="Q44" i="1"/>
  <c r="Q45" i="1"/>
  <c r="V45" i="1"/>
  <c r="W45" i="1"/>
  <c r="Q46" i="1"/>
  <c r="V46" i="1"/>
  <c r="W46" i="1"/>
  <c r="Q47" i="1"/>
  <c r="V47" i="1"/>
  <c r="W47" i="1"/>
  <c r="Q48" i="1"/>
  <c r="V48" i="1"/>
  <c r="W48" i="1"/>
  <c r="Q49" i="1"/>
  <c r="V49" i="1"/>
  <c r="W49" i="1"/>
  <c r="Q50" i="1"/>
  <c r="V50" i="1"/>
  <c r="W50" i="1"/>
  <c r="Q51" i="1"/>
  <c r="V51" i="1"/>
  <c r="W51" i="1"/>
  <c r="Q52" i="1"/>
  <c r="V52" i="1"/>
  <c r="W52" i="1"/>
  <c r="Q53" i="1"/>
  <c r="V53" i="1"/>
  <c r="W53" i="1"/>
  <c r="Q54" i="1"/>
  <c r="V54" i="1"/>
  <c r="W54" i="1"/>
  <c r="Q55" i="1"/>
  <c r="V55" i="1"/>
  <c r="W55" i="1"/>
  <c r="W56" i="1"/>
  <c r="Q57" i="1"/>
  <c r="V57" i="1"/>
  <c r="W57" i="1"/>
  <c r="Q58" i="1"/>
  <c r="V58" i="1"/>
  <c r="W58" i="1"/>
  <c r="Q59" i="1"/>
  <c r="V59" i="1"/>
  <c r="W59" i="1"/>
  <c r="Q60" i="1"/>
  <c r="V60" i="1"/>
  <c r="W60" i="1"/>
  <c r="Q61" i="1"/>
  <c r="V61" i="1"/>
  <c r="W61" i="1"/>
  <c r="Q62" i="1"/>
  <c r="V62" i="1"/>
  <c r="W62" i="1"/>
  <c r="Q63" i="1"/>
  <c r="V63" i="1"/>
  <c r="W63" i="1"/>
  <c r="Q64" i="1"/>
  <c r="V64" i="1"/>
  <c r="W64" i="1"/>
  <c r="Q65" i="1"/>
  <c r="V65" i="1"/>
  <c r="W65" i="1"/>
  <c r="Q67" i="1"/>
  <c r="V67" i="1"/>
  <c r="W67" i="1"/>
  <c r="Q68" i="1"/>
  <c r="V68" i="1"/>
  <c r="W68" i="1"/>
  <c r="Q69" i="1"/>
  <c r="V69" i="1"/>
  <c r="W69" i="1"/>
  <c r="Q70" i="1"/>
  <c r="V70" i="1"/>
  <c r="W70" i="1"/>
  <c r="Q72" i="1"/>
  <c r="V72" i="1"/>
  <c r="W72" i="1"/>
  <c r="Q73" i="1"/>
  <c r="V73" i="1"/>
  <c r="W73" i="1"/>
  <c r="Q75" i="1"/>
  <c r="V75" i="1"/>
  <c r="W75" i="1"/>
  <c r="Q76" i="1"/>
  <c r="V76" i="1"/>
  <c r="W76" i="1" s="1"/>
  <c r="Q78" i="1"/>
  <c r="V78" i="1"/>
  <c r="W78" i="1"/>
  <c r="Q79" i="1"/>
  <c r="V79" i="1"/>
  <c r="W79" i="1"/>
  <c r="Q80" i="1"/>
  <c r="Q81" i="1"/>
  <c r="V81" i="1"/>
  <c r="W81" i="1"/>
  <c r="Q82" i="1"/>
  <c r="V82" i="1"/>
  <c r="W82" i="1"/>
  <c r="Q83" i="1"/>
  <c r="Q84" i="1"/>
  <c r="V84" i="1"/>
  <c r="W84" i="1"/>
  <c r="Q85" i="1"/>
  <c r="V85" i="1"/>
  <c r="W85" i="1"/>
  <c r="Q86" i="1"/>
  <c r="Q87" i="1"/>
  <c r="V87" i="1"/>
  <c r="W87" i="1" s="1"/>
  <c r="Q88" i="1"/>
  <c r="V88" i="1"/>
  <c r="W88" i="1"/>
  <c r="Q89" i="1"/>
  <c r="Q90" i="1"/>
  <c r="V90" i="1"/>
  <c r="W90" i="1"/>
  <c r="Q91" i="1"/>
  <c r="V91" i="1"/>
  <c r="W91" i="1"/>
  <c r="Q92" i="1"/>
  <c r="V92" i="1"/>
  <c r="W92" i="1"/>
  <c r="Q93" i="1"/>
  <c r="V93" i="1"/>
  <c r="W93" i="1"/>
  <c r="Q94" i="1"/>
  <c r="V94" i="1"/>
  <c r="W94" i="1"/>
  <c r="Q95" i="1"/>
  <c r="Q96" i="1"/>
  <c r="V96" i="1"/>
  <c r="W96" i="1"/>
  <c r="Q97" i="1"/>
  <c r="V97" i="1"/>
  <c r="W97" i="1"/>
  <c r="Q98" i="1"/>
  <c r="V98" i="1"/>
  <c r="W98" i="1"/>
  <c r="Q99" i="1"/>
  <c r="V99" i="1"/>
  <c r="W99" i="1"/>
  <c r="Q100" i="1"/>
  <c r="V100" i="1"/>
  <c r="W100" i="1"/>
  <c r="Q101" i="1"/>
  <c r="V101" i="1"/>
  <c r="W101" i="1"/>
  <c r="Q102" i="1"/>
  <c r="V102" i="1"/>
  <c r="W102" i="1"/>
  <c r="Q103" i="1"/>
  <c r="V103" i="1"/>
  <c r="W103" i="1"/>
  <c r="Q104" i="1"/>
  <c r="V104" i="1"/>
  <c r="W104" i="1"/>
  <c r="Q105" i="1"/>
  <c r="V105" i="1"/>
  <c r="W105" i="1"/>
  <c r="Q106" i="1"/>
  <c r="V106" i="1"/>
  <c r="W106" i="1"/>
  <c r="Q107" i="1"/>
  <c r="V107" i="1"/>
  <c r="W107" i="1"/>
  <c r="Q108" i="1"/>
  <c r="W108" i="1"/>
  <c r="Q109" i="1"/>
  <c r="Q110" i="1"/>
  <c r="Q111" i="1"/>
  <c r="Q112" i="1"/>
  <c r="Q113" i="1"/>
  <c r="Q114" i="1"/>
  <c r="Q115" i="1"/>
  <c r="Q116" i="1"/>
  <c r="Q120" i="1"/>
  <c r="V120" i="1"/>
  <c r="W120" i="1"/>
  <c r="Q121" i="1"/>
  <c r="V121" i="1"/>
  <c r="W121" i="1"/>
  <c r="Q122" i="1"/>
  <c r="V122" i="1"/>
  <c r="W122" i="1"/>
  <c r="Q123" i="1"/>
  <c r="V123" i="1"/>
  <c r="W123" i="1"/>
  <c r="Q124" i="1"/>
  <c r="V124" i="1"/>
  <c r="W124" i="1"/>
  <c r="Q125" i="1"/>
  <c r="Q126" i="1"/>
  <c r="V126" i="1"/>
  <c r="W126" i="1"/>
  <c r="Q127" i="1"/>
  <c r="V127" i="1"/>
  <c r="W127" i="1"/>
  <c r="Q128" i="1"/>
  <c r="Q129" i="1"/>
  <c r="Q130" i="1"/>
  <c r="V130" i="1"/>
  <c r="W130" i="1"/>
  <c r="Q131" i="1"/>
  <c r="V131" i="1"/>
  <c r="W131" i="1"/>
  <c r="Q132" i="1"/>
  <c r="V132" i="1"/>
  <c r="W132" i="1"/>
  <c r="Q133" i="1"/>
  <c r="V133" i="1"/>
  <c r="W133" i="1"/>
  <c r="Q134" i="1"/>
  <c r="V134" i="1"/>
  <c r="W134" i="1"/>
  <c r="Q135" i="1"/>
  <c r="V135" i="1"/>
  <c r="W135" i="1"/>
  <c r="Q136" i="1"/>
  <c r="V136" i="1"/>
  <c r="W136" i="1"/>
  <c r="Q137" i="1"/>
  <c r="V137" i="1"/>
  <c r="W137" i="1"/>
  <c r="Q138" i="1"/>
  <c r="V138" i="1"/>
  <c r="W138" i="1"/>
  <c r="Q139" i="1"/>
  <c r="Q140" i="1"/>
  <c r="V140" i="1"/>
  <c r="W140" i="1"/>
  <c r="Q141" i="1"/>
  <c r="V141" i="1"/>
  <c r="W141" i="1"/>
  <c r="Q142" i="1"/>
  <c r="Q143" i="1"/>
  <c r="V143" i="1"/>
  <c r="W143" i="1"/>
  <c r="Q144" i="1"/>
  <c r="V144" i="1"/>
  <c r="W144" i="1"/>
</calcChain>
</file>

<file path=xl/sharedStrings.xml><?xml version="1.0" encoding="utf-8"?>
<sst xmlns="http://schemas.openxmlformats.org/spreadsheetml/2006/main" count="1067" uniqueCount="476">
  <si>
    <t>MAHALAXMI GARAGE</t>
  </si>
  <si>
    <t xml:space="preserve">SAWARKHAND </t>
  </si>
  <si>
    <t>ARVIND MANKAR</t>
  </si>
  <si>
    <t>728/07-01-23</t>
  </si>
  <si>
    <t>RAJENDRA</t>
  </si>
  <si>
    <t>RUNNING</t>
  </si>
  <si>
    <t>MURBAD</t>
  </si>
  <si>
    <t xml:space="preserve">TM-KIRLOSKAR ENGINE </t>
  </si>
  <si>
    <t>204/ 03-01-24</t>
  </si>
  <si>
    <t>RAJESH JANATHE</t>
  </si>
  <si>
    <t>SAWARKHAND</t>
  </si>
  <si>
    <t xml:space="preserve">JAGANNATH </t>
  </si>
  <si>
    <t>1028/15-06-23</t>
  </si>
  <si>
    <t>NO DRIVER</t>
  </si>
  <si>
    <t>192/26-12-23</t>
  </si>
  <si>
    <t>SAKHARAM</t>
  </si>
  <si>
    <t>017-06-23</t>
  </si>
  <si>
    <t>RAJPAL</t>
  </si>
  <si>
    <t>70/31-08-24</t>
  </si>
  <si>
    <t>SONU PASWAN</t>
  </si>
  <si>
    <t>MALJIPADA</t>
  </si>
  <si>
    <t>29/26-08-23</t>
  </si>
  <si>
    <t>AZAD AHAMD</t>
  </si>
  <si>
    <t>1022/ 14-06-23</t>
  </si>
  <si>
    <t>NANDAN KUMAR</t>
  </si>
  <si>
    <t>1027/ 14-06-23</t>
  </si>
  <si>
    <t>ANIL</t>
  </si>
  <si>
    <t>40/ 16-08-24</t>
  </si>
  <si>
    <t>SANTOSH</t>
  </si>
  <si>
    <t>1025/14-06-23</t>
  </si>
  <si>
    <t>UTTAM</t>
  </si>
  <si>
    <t>218/18-01-24</t>
  </si>
  <si>
    <t>BRIENDRA MISHRA</t>
  </si>
  <si>
    <t>MUGUSTE RMC</t>
  </si>
  <si>
    <t>1029/ 15-06-23</t>
  </si>
  <si>
    <t>NARESH UMATOL</t>
  </si>
  <si>
    <t>1001 / 07-06-23</t>
  </si>
  <si>
    <t>NARESH DHANVA</t>
  </si>
  <si>
    <t xml:space="preserve">BAGYARAM </t>
  </si>
  <si>
    <t>WADA RMC</t>
  </si>
  <si>
    <t>DINESH BHOPI</t>
  </si>
  <si>
    <t>207/09-01-24</t>
  </si>
  <si>
    <t>ASHOK SINGH</t>
  </si>
  <si>
    <t>1026/ 14-06-23</t>
  </si>
  <si>
    <t xml:space="preserve">BREAKDOWN </t>
  </si>
  <si>
    <t>RAMNARESH</t>
  </si>
  <si>
    <t>1017 / 11-06-23</t>
  </si>
  <si>
    <t>405/21-06/24</t>
  </si>
  <si>
    <t xml:space="preserve">VILAS SAMBRE </t>
  </si>
  <si>
    <t>410/24-06-24</t>
  </si>
  <si>
    <t>RAJU PADOSHA</t>
  </si>
  <si>
    <t>208/11-01-24</t>
  </si>
  <si>
    <t>PARMOD</t>
  </si>
  <si>
    <t>203/02-1-24</t>
  </si>
  <si>
    <t xml:space="preserve">KISHOR MORE </t>
  </si>
  <si>
    <t xml:space="preserve">TRANSIT MIXER KIRLOSKAR ENGINE   - 25 NOS </t>
  </si>
  <si>
    <t>REMARK</t>
  </si>
  <si>
    <t>REMANING SERVICE HMR</t>
  </si>
  <si>
    <t>NXT SERVICE HMR</t>
  </si>
  <si>
    <t>JOB CARD  NO / DATE</t>
  </si>
  <si>
    <t>LAST SERVICE DONE HMR</t>
  </si>
  <si>
    <t>QTY. OF WORK / WORK DISCRIPTION</t>
  </si>
  <si>
    <t>DISEL (LTR)</t>
  </si>
  <si>
    <t>TOTAL HMR</t>
  </si>
  <si>
    <t>CLOSING HMR</t>
  </si>
  <si>
    <t>OPERATOR NAME</t>
  </si>
  <si>
    <t>STATUS-                                      RUNING/ UNDER MAINTENANCE</t>
  </si>
  <si>
    <t xml:space="preserve">TODAY LOCATION </t>
  </si>
  <si>
    <t>OWNER DETAIL</t>
  </si>
  <si>
    <t xml:space="preserve">OWN / RENT </t>
  </si>
  <si>
    <t>MACHINE SR.NO  VEHICLE REG. NO</t>
  </si>
  <si>
    <t>ASSET DETAILS</t>
  </si>
  <si>
    <t>SR NO</t>
  </si>
  <si>
    <t>SR.NO</t>
  </si>
  <si>
    <t>RUNING</t>
  </si>
  <si>
    <t xml:space="preserve">MALJIPADA </t>
  </si>
  <si>
    <t>OWN</t>
  </si>
  <si>
    <t>QB - BREAKAER JCB NO. 9</t>
  </si>
  <si>
    <t>PIPE COMPANY</t>
  </si>
  <si>
    <t>JCB BREAKAR NO. 1 JCB 3</t>
  </si>
  <si>
    <t xml:space="preserve">JCB BREAKAR </t>
  </si>
  <si>
    <t>JAMSHET</t>
  </si>
  <si>
    <t xml:space="preserve">QB - 5 NO. EXC 8 NO. BREAKAR </t>
  </si>
  <si>
    <t>ASANGAON ROAD</t>
  </si>
  <si>
    <t>QB - 4 NO. EXC 7 NO. BREAKAR</t>
  </si>
  <si>
    <t>BREAKDOWN</t>
  </si>
  <si>
    <t>JESWAL</t>
  </si>
  <si>
    <t>FINE - 3 NO. EXC - 4 NO. BREAKAR</t>
  </si>
  <si>
    <t>DADADE</t>
  </si>
  <si>
    <t>FARUKA - 2 NO. EXC- 3 NO. BREAKAR</t>
  </si>
  <si>
    <t xml:space="preserve">MUKUND COMPANY </t>
  </si>
  <si>
    <t>DOZCO 1 NO EXC-6 NO BREAKAR</t>
  </si>
  <si>
    <t>EXCAVATOR BREAKAR NOS. 05</t>
  </si>
  <si>
    <t>DG .NO 12 KIRLOSKAR 15 KVA</t>
  </si>
  <si>
    <t>791/ 21-01-2023</t>
  </si>
  <si>
    <t>GODREJ</t>
  </si>
  <si>
    <t>DG. NO 11 KIRLOSKAR 15 KVA</t>
  </si>
  <si>
    <t>MURBAD/                                          13-10-22</t>
  </si>
  <si>
    <t xml:space="preserve">CAMP LIGHTNING </t>
  </si>
  <si>
    <t>RAMBARAN</t>
  </si>
  <si>
    <t>MURBAD CHAMP LIGHTING</t>
  </si>
  <si>
    <t>DG. NO. 10 KIRLOSKAR 25 KVA</t>
  </si>
  <si>
    <t xml:space="preserve">RCM PLAND </t>
  </si>
  <si>
    <t>VIJAY SHINGH</t>
  </si>
  <si>
    <t>MURBAD RMC</t>
  </si>
  <si>
    <t xml:space="preserve">DG. NO. 09 KIRLOSKAR 250 KVA </t>
  </si>
  <si>
    <t>223 / 24-04-24</t>
  </si>
  <si>
    <t>HARSHAL</t>
  </si>
  <si>
    <t>MANOR HOSPITAL</t>
  </si>
  <si>
    <t>DG. NO. 08 KIRLOSKAR 40 KVA</t>
  </si>
  <si>
    <t>MANISH KUMAR</t>
  </si>
  <si>
    <t>DG. NO 07 MAHINDRA 125 KVA</t>
  </si>
  <si>
    <t>149/01-10-24</t>
  </si>
  <si>
    <t xml:space="preserve">SADAM </t>
  </si>
  <si>
    <t>ZADPOLI HOSPITAL</t>
  </si>
  <si>
    <t xml:space="preserve">DG. NO. 06 KIRLOSKAR 125 KVA </t>
  </si>
  <si>
    <t>22/06-08-24</t>
  </si>
  <si>
    <t>ANJESH</t>
  </si>
  <si>
    <t>SAWARKHAND FOR RMC</t>
  </si>
  <si>
    <t>DG. NO. 05 KIRLOSKAR 250 KVA</t>
  </si>
  <si>
    <t>283/27-11-24</t>
  </si>
  <si>
    <t>SHATRU</t>
  </si>
  <si>
    <t xml:space="preserve">WADA RMC  </t>
  </si>
  <si>
    <t>DG. NO. 04 KIRLOSKAR 125 KVA</t>
  </si>
  <si>
    <t>READING PROBLEM</t>
  </si>
  <si>
    <t>494/10-09-22</t>
  </si>
  <si>
    <t>SAWARKHAND FOR OFFICE</t>
  </si>
  <si>
    <t>400 MODEL / 6 TON+A96:Q114</t>
  </si>
  <si>
    <t>46/28-09-23</t>
  </si>
  <si>
    <t>SAWARKHAND FOR BITUMIN PLANT</t>
  </si>
  <si>
    <t>DG. NO. 02 KIRLOSKAR 125KVA</t>
  </si>
  <si>
    <t>128/29-11-23</t>
  </si>
  <si>
    <t>WADA FOR BITUMIN PLANT</t>
  </si>
  <si>
    <t>DG NO. 01 LEYLAND 200KVA</t>
  </si>
  <si>
    <t>DEESEL GENERATOR +A96:Q114 NO. 12 (DG)</t>
  </si>
  <si>
    <t xml:space="preserve">WADA GODOWN </t>
  </si>
  <si>
    <t>CONCRETE PUMP AQUARIUS 703 NO-05</t>
  </si>
  <si>
    <t>CONCRETE PUMP OLD AQUARIUS 1407 NO-04</t>
  </si>
  <si>
    <t>95/27-12-23</t>
  </si>
  <si>
    <t>IDEAL</t>
  </si>
  <si>
    <t>CONCRETE PUME SCHWING SP 1400 NO-03</t>
  </si>
  <si>
    <t>97/27-12-23</t>
  </si>
  <si>
    <t>CONCRETE PUMP NEW AQUARIUS 1407 D HR NO-02</t>
  </si>
  <si>
    <t>96/27-12-23</t>
  </si>
  <si>
    <t>CONCRETE PUMP AJAX 1407-NO-1</t>
  </si>
  <si>
    <t>CONCRETE PUMP (5 NOS)</t>
  </si>
  <si>
    <t>ON RENT</t>
  </si>
  <si>
    <t>ALLAUDIN SHEKH MOKADA</t>
  </si>
  <si>
    <t>AJAX FLORI NO. 2</t>
  </si>
  <si>
    <t>NO OPERATOR</t>
  </si>
  <si>
    <t>DHADARE</t>
  </si>
  <si>
    <t>AJAX FLORI NO. 1</t>
  </si>
  <si>
    <t>SELF LOADING MOBILE CONCERTE MIXER NO. 2 (AJAX)</t>
  </si>
  <si>
    <t>HYDRA  NO. 2</t>
  </si>
  <si>
    <t>254/16-02-24</t>
  </si>
  <si>
    <t>LOADING</t>
  </si>
  <si>
    <t>RAMPRAKASH SHAHANI</t>
  </si>
  <si>
    <t>WADA</t>
  </si>
  <si>
    <t>HYDRA NO. 1 ( FARANA)</t>
  </si>
  <si>
    <t>HYDRA NO. 2</t>
  </si>
  <si>
    <t>240/ 31-01-24</t>
  </si>
  <si>
    <t xml:space="preserve">DLC </t>
  </si>
  <si>
    <t>KAMLESH KUMAR</t>
  </si>
  <si>
    <t xml:space="preserve">PAYE </t>
  </si>
  <si>
    <t>GRADER NO. 2</t>
  </si>
  <si>
    <t>25 / 07-08-24</t>
  </si>
  <si>
    <t xml:space="preserve">CNG </t>
  </si>
  <si>
    <t>PRAMOD MAHTO</t>
  </si>
  <si>
    <t>YOGESHWARI</t>
  </si>
  <si>
    <t xml:space="preserve">GRADER NO. 1 </t>
  </si>
  <si>
    <t>243/06-11-24</t>
  </si>
  <si>
    <t>CARPET WORK</t>
  </si>
  <si>
    <t>BARAKHU KORADA</t>
  </si>
  <si>
    <t>SARANI</t>
  </si>
  <si>
    <t>MECHANICAL PAVER NO. 8</t>
  </si>
  <si>
    <t xml:space="preserve">NO CONTACTS </t>
  </si>
  <si>
    <t>148 / 08-12-23</t>
  </si>
  <si>
    <t xml:space="preserve">KHADI BICHANA </t>
  </si>
  <si>
    <t>AMIT KUMAR</t>
  </si>
  <si>
    <t xml:space="preserve">JAWHAR </t>
  </si>
  <si>
    <t>MECHANICAL PAVER NO. 7</t>
  </si>
  <si>
    <t>SCRAP SOLD</t>
  </si>
  <si>
    <t>SCRAP</t>
  </si>
  <si>
    <t>PAWALEY CAMP MURBAD</t>
  </si>
  <si>
    <t>MECHANICAL PAVER NO. 4</t>
  </si>
  <si>
    <t>347/15-04-24</t>
  </si>
  <si>
    <t xml:space="preserve">LAYYING CARPET </t>
  </si>
  <si>
    <t>MANOJ YADAV</t>
  </si>
  <si>
    <t>MECHANICAL PAVER NO. 3</t>
  </si>
  <si>
    <t>120/27-11-23</t>
  </si>
  <si>
    <t xml:space="preserve">BEL MIX </t>
  </si>
  <si>
    <t>MECHANICAL PAVER NO. 2</t>
  </si>
  <si>
    <t>MECHANICAL PAVER NO. 5</t>
  </si>
  <si>
    <t>330/31-03-24</t>
  </si>
  <si>
    <t>DBM</t>
  </si>
  <si>
    <t>BRIJLAL KOL</t>
  </si>
  <si>
    <t xml:space="preserve">AATHGAON </t>
  </si>
  <si>
    <t>SENSOR PAVER NO. 6</t>
  </si>
  <si>
    <t>238/31-10-24</t>
  </si>
  <si>
    <t>SAROJ KUMAR</t>
  </si>
  <si>
    <t>DAHE PIK</t>
  </si>
  <si>
    <t>SENSOR PAVER NO. 5</t>
  </si>
  <si>
    <t>SENSOR PAVER NO. 2</t>
  </si>
  <si>
    <t>165/04-10-24</t>
  </si>
  <si>
    <t>IMRAN ANSARI</t>
  </si>
  <si>
    <t xml:space="preserve">MOKHADA TULYACHAPADA </t>
  </si>
  <si>
    <t>BABY ROLLER NO. 4</t>
  </si>
  <si>
    <t>205/03-01-24</t>
  </si>
  <si>
    <t>ROLLING</t>
  </si>
  <si>
    <t xml:space="preserve">NO OPRETOR </t>
  </si>
  <si>
    <t>ALLYANI</t>
  </si>
  <si>
    <t>BABY ROLLER NO. 3</t>
  </si>
  <si>
    <t>210/10-01-24</t>
  </si>
  <si>
    <t>MUKHTAR MAHATO</t>
  </si>
  <si>
    <t>DEVGAON</t>
  </si>
  <si>
    <t>BABY ROLLER NO. 2</t>
  </si>
  <si>
    <t>206/05-01-24</t>
  </si>
  <si>
    <t xml:space="preserve"> ROLLING</t>
  </si>
  <si>
    <t>AHAMAD  HUSSAIN</t>
  </si>
  <si>
    <t xml:space="preserve">SARAVLI </t>
  </si>
  <si>
    <t>BABY ROLLER NO. 1</t>
  </si>
  <si>
    <t xml:space="preserve">BABY ROLLER (DOUBLE DRUM ROLLER) NO. 4 </t>
  </si>
  <si>
    <t>50/29-09-23</t>
  </si>
  <si>
    <t>DURGESH RAJBHAR</t>
  </si>
  <si>
    <t xml:space="preserve">RUNNING </t>
  </si>
  <si>
    <t>WARET</t>
  </si>
  <si>
    <t>AMBADI</t>
  </si>
  <si>
    <t>SOIL COMPACTOR ROLLER NO. 24</t>
  </si>
  <si>
    <t>191/26-12-23</t>
  </si>
  <si>
    <t>BRIJESH KUMAR</t>
  </si>
  <si>
    <t>KASGAON SITE</t>
  </si>
  <si>
    <t>SOIL COMPACTOR ROLLER NO. 23</t>
  </si>
  <si>
    <t>201/30-12-23</t>
  </si>
  <si>
    <t xml:space="preserve">GSB </t>
  </si>
  <si>
    <t>DEEPAK KUMAR</t>
  </si>
  <si>
    <t xml:space="preserve">KELICHAPADA </t>
  </si>
  <si>
    <t>SOIL COMPACTOR OLD ROLLER NO. 18</t>
  </si>
  <si>
    <t>333/02-04-24</t>
  </si>
  <si>
    <t xml:space="preserve">SHIFTING </t>
  </si>
  <si>
    <t>RAJA KUMAR</t>
  </si>
  <si>
    <t>CHINCHOTI</t>
  </si>
  <si>
    <t xml:space="preserve">SOIL COMPACTOR OLD ROLLER NO. 17 </t>
  </si>
  <si>
    <t>217/14-01-24</t>
  </si>
  <si>
    <t xml:space="preserve">DHEERAJ KUMAR </t>
  </si>
  <si>
    <t xml:space="preserve">KURNZE  </t>
  </si>
  <si>
    <t>SOIL COMPACTOR OLD ROLLER NO. 16</t>
  </si>
  <si>
    <t>100/9-11-23</t>
  </si>
  <si>
    <t xml:space="preserve">MUKUND </t>
  </si>
  <si>
    <t>SOIL COMPACTOR OLD ROLLER NO. 15</t>
  </si>
  <si>
    <t>193/26-12-23</t>
  </si>
  <si>
    <t xml:space="preserve">VIKAS </t>
  </si>
  <si>
    <t xml:space="preserve">DHUNDALWADI </t>
  </si>
  <si>
    <t>SOIL COMPACTOR OLD ROLLER NO. 14</t>
  </si>
  <si>
    <t>328/ 30-03-24</t>
  </si>
  <si>
    <t>VALVANDA</t>
  </si>
  <si>
    <t>SOIL COMPACTOR OLD ROLLER NO. 12</t>
  </si>
  <si>
    <t>295/03-12-24</t>
  </si>
  <si>
    <t>BIPIN</t>
  </si>
  <si>
    <t>NAD GAON</t>
  </si>
  <si>
    <t xml:space="preserve">SOIL COMPACTOR ROLLER MURBAD </t>
  </si>
  <si>
    <t>SOIL COMPACTOR ( SINGAL DRUM ROLLER) -9</t>
  </si>
  <si>
    <t>139/25-09-24</t>
  </si>
  <si>
    <t xml:space="preserve">GSB ROLLING </t>
  </si>
  <si>
    <t>DILKAS ANSARI</t>
  </si>
  <si>
    <t>CASE ROLLER OLD NO. 22</t>
  </si>
  <si>
    <t>189/ 26-12-23</t>
  </si>
  <si>
    <t>ROLLING BM</t>
  </si>
  <si>
    <t>AJAY KUMAR MEHTA</t>
  </si>
  <si>
    <t>CASE ROLLER OLD NO. 21</t>
  </si>
  <si>
    <t>150/01-10-24</t>
  </si>
  <si>
    <t>IDLE</t>
  </si>
  <si>
    <t xml:space="preserve">GURUDEV SINGH </t>
  </si>
  <si>
    <t xml:space="preserve">CASE ROLLER OLD NO. 20 </t>
  </si>
  <si>
    <t>167/15-12-23</t>
  </si>
  <si>
    <t xml:space="preserve">SAHAMAT ANSARI </t>
  </si>
  <si>
    <t>DHADHARE</t>
  </si>
  <si>
    <t>CASE ROLLER OLD NO.19</t>
  </si>
  <si>
    <t>55/04-10-23</t>
  </si>
  <si>
    <t>AMARJEET MAHATO</t>
  </si>
  <si>
    <t>CASE ROLLER OLD NO.18</t>
  </si>
  <si>
    <t>MITER CHANGE (18-11-24)</t>
  </si>
  <si>
    <t>52/01-10-23</t>
  </si>
  <si>
    <t xml:space="preserve">BM ROLLING </t>
  </si>
  <si>
    <t>KURSHEED ALAM</t>
  </si>
  <si>
    <t xml:space="preserve">CASE ROLLER NO. 4 </t>
  </si>
  <si>
    <t>172/18-12-23</t>
  </si>
  <si>
    <t xml:space="preserve">PRENJAN PARK </t>
  </si>
  <si>
    <t>CASE ROLLER NO. 6</t>
  </si>
  <si>
    <t>392/02-06-24</t>
  </si>
  <si>
    <t xml:space="preserve">WADA </t>
  </si>
  <si>
    <t>CASE ROLLER NO. 5</t>
  </si>
  <si>
    <t>159/02-10-24</t>
  </si>
  <si>
    <t>SAVARKHAND</t>
  </si>
  <si>
    <t>CASE ROLLER NO.3</t>
  </si>
  <si>
    <t xml:space="preserve">OPRETOR CHANGE </t>
  </si>
  <si>
    <t>171/05-10-24</t>
  </si>
  <si>
    <t>KUMOD MAHATO</t>
  </si>
  <si>
    <t>BILAVALI</t>
  </si>
  <si>
    <t>CASE ROLLER NO. 1</t>
  </si>
  <si>
    <t>READING ISSUE</t>
  </si>
  <si>
    <t>37/18-09-23</t>
  </si>
  <si>
    <t xml:space="preserve">MITTI ROLLING </t>
  </si>
  <si>
    <t>DINESH DAVALA</t>
  </si>
  <si>
    <t xml:space="preserve">DURVESH </t>
  </si>
  <si>
    <t>L &amp; T ROLLER OLD NO. 1</t>
  </si>
  <si>
    <t>TANDOM ROLLER (DOUBLE DRUM) -11</t>
  </si>
  <si>
    <t>26/25-08-2023</t>
  </si>
  <si>
    <t>WATER  SUPPLY</t>
  </si>
  <si>
    <t xml:space="preserve">TRACOR WITH COMPRESSOR NO. 8 </t>
  </si>
  <si>
    <t>188/26-12-23</t>
  </si>
  <si>
    <t>DRINKING WATER SUPPLY</t>
  </si>
  <si>
    <t>NIRAJ</t>
  </si>
  <si>
    <t>AT PAWALE PLANT</t>
  </si>
  <si>
    <t>TRACTOR NO. 6</t>
  </si>
  <si>
    <t>373/ 14-02-25</t>
  </si>
  <si>
    <t>RITESH CHOUCHAN</t>
  </si>
  <si>
    <t>TRACTOR  WITH TANKER  NO. 5</t>
  </si>
  <si>
    <t xml:space="preserve">TRACTOR -3 </t>
  </si>
  <si>
    <t>205/16-10-2024</t>
  </si>
  <si>
    <t>HYPER LOADING</t>
  </si>
  <si>
    <t>ARJUN KUMAR</t>
  </si>
  <si>
    <t xml:space="preserve"> MUGUSTE RMC </t>
  </si>
  <si>
    <t>TRACTOR LOADER NO. 7</t>
  </si>
  <si>
    <t>162/ 03-10-24</t>
  </si>
  <si>
    <t>RMC LOD</t>
  </si>
  <si>
    <t>SURAJ  SHINDE</t>
  </si>
  <si>
    <t>TRACTOR LOADER NO. 4</t>
  </si>
  <si>
    <t xml:space="preserve">IDEAL MACHINE </t>
  </si>
  <si>
    <t>36/25/09/24</t>
  </si>
  <si>
    <t>TYRE PUMCHAR</t>
  </si>
  <si>
    <t>TRACTOR LOADER NO. 2</t>
  </si>
  <si>
    <t>TRACTOR LOADER -3</t>
  </si>
  <si>
    <t>297/06-12-24</t>
  </si>
  <si>
    <t xml:space="preserve">VIJAY BARAPH </t>
  </si>
  <si>
    <t>VIKRAMGAD</t>
  </si>
  <si>
    <t>TRACTOR DOZER  NO. 3</t>
  </si>
  <si>
    <t>200/30-12-23</t>
  </si>
  <si>
    <t xml:space="preserve">CONCRIT PUMP SHIFTING </t>
  </si>
  <si>
    <t>GODREJ ( USE KURNZE SITE )</t>
  </si>
  <si>
    <t>TRACTOR DOZER NO. 1</t>
  </si>
  <si>
    <t xml:space="preserve">TRACTOR DOZER -2 </t>
  </si>
  <si>
    <t xml:space="preserve">TRACTOR TOTAL NOS. -8 </t>
  </si>
  <si>
    <t>242 / 06-11-24</t>
  </si>
  <si>
    <t xml:space="preserve">RAOD SITE CUTING </t>
  </si>
  <si>
    <t>FIROJ ALAM</t>
  </si>
  <si>
    <t>JCB NO. 15 (MH 04 KD 4728)</t>
  </si>
  <si>
    <t>364/ 07-02-25</t>
  </si>
  <si>
    <t xml:space="preserve">MUKESH </t>
  </si>
  <si>
    <t>JCB NO. 14 (MH 04 KD 4729)</t>
  </si>
  <si>
    <t>372/ 14-02-25</t>
  </si>
  <si>
    <t xml:space="preserve">ROAD SITE CUTING, PENAL LOADING </t>
  </si>
  <si>
    <t>RABANI ANSARI</t>
  </si>
  <si>
    <t>SILOTAR</t>
  </si>
  <si>
    <t>JCB NO. 13 (MH 04 KD 3954)</t>
  </si>
  <si>
    <t>42 / 16-08-24</t>
  </si>
  <si>
    <t xml:space="preserve">SITE SOLDER </t>
  </si>
  <si>
    <t>PIYUSH PASWAN</t>
  </si>
  <si>
    <t xml:space="preserve">VARLEY </t>
  </si>
  <si>
    <t>JCB NO. 12 (MH 04 KD 3953)</t>
  </si>
  <si>
    <t>201/14-10-24</t>
  </si>
  <si>
    <t xml:space="preserve">DUMBAR PLANT </t>
  </si>
  <si>
    <t>KURBAN ANSARI</t>
  </si>
  <si>
    <t xml:space="preserve">WADA CRUSHER </t>
  </si>
  <si>
    <t>JCB NO. 11 (MH 04 KD 3955)</t>
  </si>
  <si>
    <t>239/05-11-24</t>
  </si>
  <si>
    <t xml:space="preserve">HYPER LOADING </t>
  </si>
  <si>
    <t>AFSAR ALI</t>
  </si>
  <si>
    <t>JCB NO. 9 (MH 48 BH6283) / BREAKER</t>
  </si>
  <si>
    <t>381/17-05-24</t>
  </si>
  <si>
    <t xml:space="preserve">EXSULATION </t>
  </si>
  <si>
    <t>SHARFUDDIN ANSARI</t>
  </si>
  <si>
    <t xml:space="preserve">SAPHALE </t>
  </si>
  <si>
    <t>JCB NO. 8 (MH 48 BH 6288)</t>
  </si>
  <si>
    <t>12/ 20-07-24</t>
  </si>
  <si>
    <t>ROAD CUTTING</t>
  </si>
  <si>
    <t xml:space="preserve">MIRAJ </t>
  </si>
  <si>
    <t>JCB NO. 7 (MH 48 BH 6285)</t>
  </si>
  <si>
    <t>86 / 06-09-24</t>
  </si>
  <si>
    <t xml:space="preserve">ROAD SITE CUTIING </t>
  </si>
  <si>
    <t>MANTU KUMAR</t>
  </si>
  <si>
    <t xml:space="preserve">JCB NO. 6 (MH 48 BH 6286) </t>
  </si>
  <si>
    <t>85/05-09-24</t>
  </si>
  <si>
    <t>SIDE SHOULDER</t>
  </si>
  <si>
    <t>ILIYAS</t>
  </si>
  <si>
    <t>MANIKHIND (SHAHAPUR)</t>
  </si>
  <si>
    <t>JCB NO. 5 (MH 48 BH 6284)</t>
  </si>
  <si>
    <t>TENTION FULLY, FUN BELT</t>
  </si>
  <si>
    <t>84/05-09-24</t>
  </si>
  <si>
    <t xml:space="preserve">LOADING  </t>
  </si>
  <si>
    <t xml:space="preserve"> GANESH KARALE</t>
  </si>
  <si>
    <t xml:space="preserve">PAWALEY </t>
  </si>
  <si>
    <t>JCB NO. 4 (MH 48 AW 4706)</t>
  </si>
  <si>
    <t>361/ 05-02-25</t>
  </si>
  <si>
    <t xml:space="preserve">SITE PATTI BICHCHANA </t>
  </si>
  <si>
    <t>DIPAK KUMAR</t>
  </si>
  <si>
    <t xml:space="preserve">JCB NO. 3 (MH 48 AW 4704)/ BREAKER </t>
  </si>
  <si>
    <t>83/05-09-24</t>
  </si>
  <si>
    <t>ILYAS</t>
  </si>
  <si>
    <t>CHIRAYU</t>
  </si>
  <si>
    <t>JCB NO. 2 (MH 48 AW 4703)</t>
  </si>
  <si>
    <t>207/18-10-24</t>
  </si>
  <si>
    <t xml:space="preserve">CUTTING </t>
  </si>
  <si>
    <t>NIZAM ANSHARI</t>
  </si>
  <si>
    <t>JCB NO. 1 (MH 48 AW 4707)</t>
  </si>
  <si>
    <t>BACKHOE LOADER - 14 (JCB)</t>
  </si>
  <si>
    <t>202 / 14-10-24</t>
  </si>
  <si>
    <t xml:space="preserve">LODING </t>
  </si>
  <si>
    <t xml:space="preserve">RAGHUVEER </t>
  </si>
  <si>
    <t>WHEEL LOADER HINDUSTAN NO. 5</t>
  </si>
  <si>
    <t>969/23-05-23</t>
  </si>
  <si>
    <t>SURESH NAKARA</t>
  </si>
  <si>
    <t xml:space="preserve">WHEEL LOADER JCB NO. 4 </t>
  </si>
  <si>
    <t>281/ 26-11-24</t>
  </si>
  <si>
    <t xml:space="preserve">CRUSHER LOADING </t>
  </si>
  <si>
    <t xml:space="preserve">MUKESHWAR DAS </t>
  </si>
  <si>
    <t>MAINTENANCE</t>
  </si>
  <si>
    <t>WHEEL LOADER HINDUSTAN NO. 3</t>
  </si>
  <si>
    <t>369/27-04-24</t>
  </si>
  <si>
    <t>LOADING ON RMC PLANT</t>
  </si>
  <si>
    <t xml:space="preserve">RAVI KUMAR </t>
  </si>
  <si>
    <t>RMC PLANT PAWALE</t>
  </si>
  <si>
    <t>WHEEL LOADER LIUGONG NO.2</t>
  </si>
  <si>
    <t>Breakdown</t>
  </si>
  <si>
    <t xml:space="preserve">BREAKDOWN - ENGINE PROBLEM </t>
  </si>
  <si>
    <t>WHEEL LOADER XCMG NO. 1</t>
  </si>
  <si>
    <t>WHEEL LOADER -5</t>
  </si>
  <si>
    <t>362/ 06-02-25</t>
  </si>
  <si>
    <t>MATERIAL LOADING</t>
  </si>
  <si>
    <t>RAMU SEN</t>
  </si>
  <si>
    <t xml:space="preserve">EXCAVATOR NO. 8 BREAKER </t>
  </si>
  <si>
    <t>82/ 05-09-24</t>
  </si>
  <si>
    <t>MATTI LOADING</t>
  </si>
  <si>
    <t>AZAD ANSARI</t>
  </si>
  <si>
    <t>AZAD ANSARI/ MAHADEV</t>
  </si>
  <si>
    <t>EXCAVATOR NO. 7 BREAKER</t>
  </si>
  <si>
    <t>3 KEN DISEL</t>
  </si>
  <si>
    <t>110/ 18-09-24</t>
  </si>
  <si>
    <t>LAXMIKANT  SHAH</t>
  </si>
  <si>
    <t xml:space="preserve">MUKUND COMPANY THANE </t>
  </si>
  <si>
    <t>EXCAVATOR NO. 6 BREAKER</t>
  </si>
  <si>
    <t>10/ 17-07-24</t>
  </si>
  <si>
    <t>SIDE CUTTING</t>
  </si>
  <si>
    <t xml:space="preserve">ALTAF SAYYED </t>
  </si>
  <si>
    <t>MAHAPOLI</t>
  </si>
  <si>
    <t xml:space="preserve">EXCAVATOR NO. 5 </t>
  </si>
  <si>
    <t>280/26-11-24</t>
  </si>
  <si>
    <t>PRAVIN GADAG</t>
  </si>
  <si>
    <t>JUGAL KUMAR</t>
  </si>
  <si>
    <t>YOGESH PATIL</t>
  </si>
  <si>
    <t>AAMGAON</t>
  </si>
  <si>
    <t>EXCAVATOR NO. 4 BREAKER</t>
  </si>
  <si>
    <t>148/ 01-10-24</t>
  </si>
  <si>
    <t>CUTTING WORK</t>
  </si>
  <si>
    <t xml:space="preserve">LAXMAN CHOUDHARY </t>
  </si>
  <si>
    <t xml:space="preserve">GANJAD </t>
  </si>
  <si>
    <t xml:space="preserve">EXCAVATOR NO. 3 BREAKER </t>
  </si>
  <si>
    <t>147/ 01-10-24</t>
  </si>
  <si>
    <t>MAHADEV MANZI</t>
  </si>
  <si>
    <t>NEHAROLI (WADA BHIWANDI)</t>
  </si>
  <si>
    <t>EXCAVATOR NO. 2</t>
  </si>
  <si>
    <t>EXCAVATOR NO. 1</t>
  </si>
  <si>
    <t>EXCAVAOR - 8</t>
  </si>
  <si>
    <t>OPENING HMR</t>
  </si>
  <si>
    <t xml:space="preserve">MOBILE NO. </t>
  </si>
  <si>
    <t xml:space="preserve">YESTERDAY OPRETOR NAME             </t>
  </si>
  <si>
    <t>OPRETOR NAME</t>
  </si>
  <si>
    <t>MACHINE UNDER</t>
  </si>
  <si>
    <t xml:space="preserve">STATUS RUNING/ UNDER MAINTENANCE </t>
  </si>
  <si>
    <t>YESTERDAY LOCATION                    28-02-25</t>
  </si>
  <si>
    <t>TO DAY LOCATION                01-03-25</t>
  </si>
  <si>
    <t>OWN/ RENT</t>
  </si>
  <si>
    <t xml:space="preserve">MACHINE, SR. NO. VEHICLE REG. NO. </t>
  </si>
  <si>
    <t>SR. NO.</t>
  </si>
  <si>
    <t>TOTAL SR. NO.</t>
  </si>
  <si>
    <t>DATE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</si>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</sst>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 tint="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6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.5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164" fontId="1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14" fontId="13" fillId="9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D4F7-8DCD-43E6-B738-E40F87E3C72D}">
  <dimension ref="A1:X200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34" sqref="N34:N144"/>
    </sheetView>
  </sheetViews>
  <sheetFormatPr defaultRowHeight="14.4" x14ac:dyDescent="0.3"/>
  <cols>
    <col min="1" max="1" width="11.6640625" style="4" customWidth="1"/>
    <col min="2" max="2" width="8.33203125" style="1" customWidth="1"/>
    <col min="3" max="3" width="5.6640625" style="1" customWidth="1"/>
    <col min="4" max="4" width="47.44140625" style="2" bestFit="1" customWidth="1"/>
    <col min="5" max="5" width="24.5546875" style="2" bestFit="1" customWidth="1"/>
    <col min="6" max="6" width="9.44140625" style="2" customWidth="1"/>
    <col min="7" max="7" width="16.33203125" style="2" customWidth="1"/>
    <col min="8" max="8" width="19.88671875" style="3" customWidth="1"/>
    <col min="9" max="9" width="19.44140625" style="2" customWidth="1"/>
    <col min="10" max="10" width="14.6640625" style="2" customWidth="1"/>
    <col min="11" max="11" width="19.109375" style="2" customWidth="1"/>
    <col min="12" max="12" width="22" style="2" customWidth="1"/>
    <col min="13" max="13" width="22.33203125" style="2" customWidth="1"/>
    <col min="14" max="14" width="18.5546875" style="1" customWidth="1"/>
    <col min="15" max="15" width="9.88671875" style="1" customWidth="1"/>
    <col min="16" max="16" width="9.109375" style="1" customWidth="1"/>
    <col min="17" max="17" width="11.33203125" style="1" bestFit="1" customWidth="1"/>
    <col min="18" max="18" width="6.6640625" style="1" customWidth="1"/>
    <col min="19" max="19" width="18" style="1" customWidth="1"/>
    <col min="21" max="21" width="14.88671875" customWidth="1"/>
    <col min="24" max="24" width="16.6640625" customWidth="1"/>
  </cols>
  <sheetData>
    <row r="1" spans="1:24" ht="57.6" x14ac:dyDescent="0.3">
      <c r="A1" s="46" t="s">
        <v>474</v>
      </c>
      <c r="B1" s="46" t="s">
        <v>473</v>
      </c>
      <c r="C1" s="46" t="s">
        <v>472</v>
      </c>
      <c r="D1" s="113" t="s">
        <v>71</v>
      </c>
      <c r="E1" s="113" t="s">
        <v>471</v>
      </c>
      <c r="F1" s="113" t="s">
        <v>470</v>
      </c>
      <c r="G1" s="113" t="s">
        <v>68</v>
      </c>
      <c r="H1" s="113" t="s">
        <v>469</v>
      </c>
      <c r="I1" s="113" t="s">
        <v>468</v>
      </c>
      <c r="J1" s="113" t="s">
        <v>467</v>
      </c>
      <c r="K1" s="113" t="s">
        <v>466</v>
      </c>
      <c r="L1" s="113" t="s">
        <v>465</v>
      </c>
      <c r="M1" s="113" t="s">
        <v>464</v>
      </c>
      <c r="N1" s="46" t="s">
        <v>463</v>
      </c>
      <c r="O1" s="46" t="s">
        <v>462</v>
      </c>
      <c r="P1" s="46" t="s">
        <v>64</v>
      </c>
      <c r="Q1" s="46" t="s">
        <v>63</v>
      </c>
      <c r="R1" s="46" t="s">
        <v>62</v>
      </c>
      <c r="S1" s="46" t="s">
        <v>61</v>
      </c>
      <c r="T1" s="111" t="s">
        <v>60</v>
      </c>
      <c r="U1" s="111" t="s">
        <v>59</v>
      </c>
      <c r="V1" s="111" t="s">
        <v>58</v>
      </c>
      <c r="W1" s="112" t="s">
        <v>57</v>
      </c>
      <c r="X1" s="111" t="s">
        <v>56</v>
      </c>
    </row>
    <row r="2" spans="1:24" x14ac:dyDescent="0.3">
      <c r="A2" s="110"/>
      <c r="B2" s="56" t="s">
        <v>461</v>
      </c>
      <c r="C2" s="56"/>
      <c r="D2" s="56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4" x14ac:dyDescent="0.3">
      <c r="A3" s="106">
        <v>45685</v>
      </c>
      <c r="B3" s="73">
        <v>1</v>
      </c>
      <c r="C3" s="73">
        <v>1</v>
      </c>
      <c r="D3" s="74" t="s">
        <v>460</v>
      </c>
      <c r="E3" s="74" t="s">
        <v>475</v>
      </c>
      <c r="F3" s="74" t="s">
        <v>76</v>
      </c>
      <c r="G3" s="74" t="s">
        <v>475</v>
      </c>
      <c r="H3" s="75" t="s">
        <v>449</v>
      </c>
      <c r="I3" s="75" t="s">
        <v>449</v>
      </c>
      <c r="J3" s="74" t="s">
        <v>224</v>
      </c>
      <c r="K3" s="74" t="s">
        <v>448</v>
      </c>
      <c r="L3" s="105" t="s">
        <v>149</v>
      </c>
      <c r="M3" s="105" t="s">
        <v>149</v>
      </c>
      <c r="N3" s="73"/>
      <c r="O3" s="73">
        <v>16826.5</v>
      </c>
      <c r="P3" s="73">
        <v>16826.5</v>
      </c>
      <c r="Q3" s="104">
        <f>P3-O3</f>
        <v>0</v>
      </c>
      <c r="R3" s="73"/>
      <c r="S3" s="73"/>
      <c r="T3" s="72">
        <v>16703</v>
      </c>
      <c r="U3" s="72"/>
      <c r="V3" s="72">
        <f>T3+300</f>
        <v>17003</v>
      </c>
      <c r="W3" s="109">
        <f>V3-P3</f>
        <v>176.5</v>
      </c>
      <c r="X3" s="72" t="s">
        <v>181</v>
      </c>
    </row>
    <row r="4" spans="1:24" ht="28.8" x14ac:dyDescent="0.3">
      <c r="A4" s="6">
        <v>45683</v>
      </c>
      <c r="B4" s="24">
        <v>2</v>
      </c>
      <c r="C4" s="24">
        <v>2</v>
      </c>
      <c r="D4" s="16" t="s">
        <v>459</v>
      </c>
      <c r="E4" s="16"/>
      <c r="F4" s="16" t="s">
        <v>76</v>
      </c>
      <c r="G4" s="16" t="s">
        <v>475</v>
      </c>
      <c r="H4" s="23" t="s">
        <v>458</v>
      </c>
      <c r="I4" s="23" t="s">
        <v>458</v>
      </c>
      <c r="J4" s="71" t="s">
        <v>224</v>
      </c>
      <c r="K4" s="16"/>
      <c r="L4" s="71" t="s">
        <v>457</v>
      </c>
      <c r="M4" s="71" t="s">
        <v>457</v>
      </c>
      <c r="N4" s="13">
        <v>9209662078</v>
      </c>
      <c r="O4" s="24">
        <v>2091</v>
      </c>
      <c r="P4" s="24">
        <v>2091</v>
      </c>
      <c r="Q4" s="82">
        <f>P4-O4</f>
        <v>0</v>
      </c>
      <c r="R4" s="13"/>
      <c r="S4" s="77" t="s">
        <v>431</v>
      </c>
      <c r="T4" s="53">
        <v>1759</v>
      </c>
      <c r="U4" s="53" t="s">
        <v>456</v>
      </c>
      <c r="V4" s="53">
        <f>T4+500</f>
        <v>2259</v>
      </c>
      <c r="W4" s="53">
        <f>V4-P4</f>
        <v>168</v>
      </c>
      <c r="X4" s="53" t="s">
        <v>299</v>
      </c>
    </row>
    <row r="5" spans="1:24" x14ac:dyDescent="0.3">
      <c r="A5" s="6">
        <v>45685</v>
      </c>
      <c r="B5" s="24">
        <v>3</v>
      </c>
      <c r="C5" s="24">
        <v>3</v>
      </c>
      <c r="D5" s="71" t="s">
        <v>455</v>
      </c>
      <c r="E5" s="71"/>
      <c r="F5" s="71" t="s">
        <v>76</v>
      </c>
      <c r="G5" s="71"/>
      <c r="H5" s="23" t="s">
        <v>454</v>
      </c>
      <c r="I5" s="23" t="s">
        <v>454</v>
      </c>
      <c r="J5" s="71" t="s">
        <v>224</v>
      </c>
      <c r="K5" s="16"/>
      <c r="L5" s="16" t="s">
        <v>453</v>
      </c>
      <c r="M5" s="16" t="s">
        <v>453</v>
      </c>
      <c r="N5" s="24">
        <v>9337869030</v>
      </c>
      <c r="O5" s="13">
        <v>10340</v>
      </c>
      <c r="P5" s="13">
        <v>10343</v>
      </c>
      <c r="Q5" s="82">
        <f>P5-O5</f>
        <v>3</v>
      </c>
      <c r="R5" s="13">
        <v>200</v>
      </c>
      <c r="S5" s="24" t="s">
        <v>452</v>
      </c>
      <c r="T5" s="53">
        <v>9822</v>
      </c>
      <c r="U5" s="53" t="s">
        <v>451</v>
      </c>
      <c r="V5" s="53">
        <f>500+T5</f>
        <v>10322</v>
      </c>
      <c r="W5" s="53">
        <f>V5-P5</f>
        <v>-21</v>
      </c>
      <c r="X5" s="53"/>
    </row>
    <row r="6" spans="1:24" x14ac:dyDescent="0.3">
      <c r="A6" s="6">
        <v>45685</v>
      </c>
      <c r="B6" s="24">
        <v>4</v>
      </c>
      <c r="C6" s="24">
        <v>4</v>
      </c>
      <c r="D6" s="16" t="s">
        <v>450</v>
      </c>
      <c r="E6" s="16"/>
      <c r="F6" s="16" t="s">
        <v>76</v>
      </c>
      <c r="G6" s="16"/>
      <c r="H6" s="15" t="s">
        <v>449</v>
      </c>
      <c r="I6" s="15" t="s">
        <v>449</v>
      </c>
      <c r="J6" s="108" t="s">
        <v>44</v>
      </c>
      <c r="K6" s="16"/>
      <c r="L6" s="23" t="s">
        <v>447</v>
      </c>
      <c r="M6" s="23" t="s">
        <v>446</v>
      </c>
      <c r="N6" s="77">
        <v>9545876783</v>
      </c>
      <c r="O6" s="13">
        <v>10876</v>
      </c>
      <c r="P6" s="13">
        <v>10895</v>
      </c>
      <c r="Q6" s="13">
        <f>P6-O6</f>
        <v>19</v>
      </c>
      <c r="R6" s="13"/>
      <c r="S6" s="24" t="s">
        <v>427</v>
      </c>
      <c r="T6" s="9">
        <v>10144</v>
      </c>
      <c r="U6" s="100" t="s">
        <v>445</v>
      </c>
      <c r="V6" s="58">
        <f>500+T6</f>
        <v>10644</v>
      </c>
      <c r="W6" s="60">
        <f>V6-P6</f>
        <v>-251</v>
      </c>
      <c r="X6" s="53"/>
    </row>
    <row r="7" spans="1:24" x14ac:dyDescent="0.3">
      <c r="A7" s="6">
        <v>45685</v>
      </c>
      <c r="B7" s="24">
        <v>5</v>
      </c>
      <c r="C7" s="24">
        <v>5</v>
      </c>
      <c r="D7" s="16" t="s">
        <v>444</v>
      </c>
      <c r="E7" s="16"/>
      <c r="F7" s="16" t="s">
        <v>76</v>
      </c>
      <c r="G7" s="16"/>
      <c r="H7" s="23" t="s">
        <v>443</v>
      </c>
      <c r="I7" s="23" t="s">
        <v>443</v>
      </c>
      <c r="J7" s="71" t="s">
        <v>224</v>
      </c>
      <c r="K7" s="16"/>
      <c r="L7" s="16" t="s">
        <v>442</v>
      </c>
      <c r="M7" s="16" t="s">
        <v>442</v>
      </c>
      <c r="N7" s="77">
        <v>9153442786</v>
      </c>
      <c r="O7" s="24">
        <v>8249</v>
      </c>
      <c r="P7" s="24">
        <v>8254</v>
      </c>
      <c r="Q7" s="13">
        <f>P7-O7</f>
        <v>5</v>
      </c>
      <c r="R7" s="13"/>
      <c r="S7" s="24" t="s">
        <v>441</v>
      </c>
      <c r="T7" s="53">
        <v>7665</v>
      </c>
      <c r="U7" s="53" t="s">
        <v>440</v>
      </c>
      <c r="V7" s="53">
        <f>500+T7</f>
        <v>8165</v>
      </c>
      <c r="W7" s="60">
        <f>V7-P7</f>
        <v>-89</v>
      </c>
      <c r="X7" s="53"/>
    </row>
    <row r="8" spans="1:24" ht="28.8" x14ac:dyDescent="0.3">
      <c r="A8" s="6">
        <v>45685</v>
      </c>
      <c r="B8" s="24">
        <v>6</v>
      </c>
      <c r="C8" s="24">
        <v>6</v>
      </c>
      <c r="D8" s="16" t="s">
        <v>439</v>
      </c>
      <c r="E8" s="16"/>
      <c r="F8" s="16" t="s">
        <v>76</v>
      </c>
      <c r="G8" s="16"/>
      <c r="H8" s="15" t="s">
        <v>438</v>
      </c>
      <c r="I8" s="15" t="s">
        <v>438</v>
      </c>
      <c r="J8" s="71" t="s">
        <v>224</v>
      </c>
      <c r="K8" s="16"/>
      <c r="L8" s="16" t="s">
        <v>437</v>
      </c>
      <c r="M8" s="16" t="s">
        <v>437</v>
      </c>
      <c r="N8" s="24">
        <v>9686151334</v>
      </c>
      <c r="O8" s="24">
        <v>9144</v>
      </c>
      <c r="P8" s="24">
        <v>9146</v>
      </c>
      <c r="Q8" s="82">
        <f>P8-O8</f>
        <v>2</v>
      </c>
      <c r="R8" s="13">
        <v>50</v>
      </c>
      <c r="S8" s="24" t="s">
        <v>401</v>
      </c>
      <c r="T8" s="53">
        <v>8725</v>
      </c>
      <c r="U8" s="53" t="s">
        <v>436</v>
      </c>
      <c r="V8" s="53">
        <f>500+T8</f>
        <v>9225</v>
      </c>
      <c r="W8" s="58">
        <f>V8-P8</f>
        <v>79</v>
      </c>
      <c r="X8" s="53" t="s">
        <v>435</v>
      </c>
    </row>
    <row r="9" spans="1:24" ht="28.8" x14ac:dyDescent="0.3">
      <c r="A9" s="6">
        <v>45685</v>
      </c>
      <c r="B9" s="24">
        <v>7</v>
      </c>
      <c r="C9" s="24">
        <v>7</v>
      </c>
      <c r="D9" s="16" t="s">
        <v>434</v>
      </c>
      <c r="E9" s="16"/>
      <c r="F9" s="16" t="s">
        <v>76</v>
      </c>
      <c r="G9" s="16"/>
      <c r="H9" s="23" t="s">
        <v>258</v>
      </c>
      <c r="I9" s="23" t="s">
        <v>258</v>
      </c>
      <c r="J9" s="71" t="s">
        <v>224</v>
      </c>
      <c r="K9" s="23"/>
      <c r="L9" s="23" t="s">
        <v>433</v>
      </c>
      <c r="M9" s="23" t="s">
        <v>432</v>
      </c>
      <c r="N9" s="77">
        <v>8010765174</v>
      </c>
      <c r="O9" s="13">
        <v>8426</v>
      </c>
      <c r="P9" s="13">
        <v>8428</v>
      </c>
      <c r="Q9" s="13">
        <f>P9-O9</f>
        <v>2</v>
      </c>
      <c r="R9" s="13"/>
      <c r="S9" s="77" t="s">
        <v>431</v>
      </c>
      <c r="T9" s="53">
        <v>8002</v>
      </c>
      <c r="U9" s="55" t="s">
        <v>430</v>
      </c>
      <c r="V9" s="53">
        <f>500+T9</f>
        <v>8502</v>
      </c>
      <c r="W9" s="53">
        <f>V9-P9</f>
        <v>74</v>
      </c>
      <c r="X9" s="53"/>
    </row>
    <row r="10" spans="1:24" ht="28.8" x14ac:dyDescent="0.3">
      <c r="A10" s="6">
        <v>45685</v>
      </c>
      <c r="B10" s="24">
        <v>8</v>
      </c>
      <c r="C10" s="24">
        <v>8</v>
      </c>
      <c r="D10" s="71" t="s">
        <v>429</v>
      </c>
      <c r="E10" s="71"/>
      <c r="F10" s="71" t="s">
        <v>76</v>
      </c>
      <c r="G10" s="71"/>
      <c r="H10" s="23" t="s">
        <v>88</v>
      </c>
      <c r="I10" s="23" t="s">
        <v>88</v>
      </c>
      <c r="J10" s="71" t="s">
        <v>224</v>
      </c>
      <c r="K10" s="71"/>
      <c r="L10" s="23" t="s">
        <v>428</v>
      </c>
      <c r="M10" s="23" t="s">
        <v>428</v>
      </c>
      <c r="N10" s="77">
        <v>9307543499</v>
      </c>
      <c r="O10" s="13">
        <v>8674</v>
      </c>
      <c r="P10" s="13">
        <v>8684</v>
      </c>
      <c r="Q10" s="82">
        <f>P10-O10</f>
        <v>10</v>
      </c>
      <c r="R10" s="13">
        <v>200</v>
      </c>
      <c r="S10" s="9" t="s">
        <v>427</v>
      </c>
      <c r="T10" s="53">
        <v>8424</v>
      </c>
      <c r="U10" s="53" t="s">
        <v>426</v>
      </c>
      <c r="V10" s="53">
        <f>500+T10</f>
        <v>8924</v>
      </c>
      <c r="W10" s="53">
        <f>V10-P10</f>
        <v>240</v>
      </c>
      <c r="X10" s="53"/>
    </row>
    <row r="11" spans="1:24" x14ac:dyDescent="0.3">
      <c r="A11" s="6">
        <v>45685</v>
      </c>
      <c r="B11" s="56" t="s">
        <v>425</v>
      </c>
      <c r="C11" s="56"/>
      <c r="D11" s="56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107"/>
      <c r="X11" s="99"/>
    </row>
    <row r="12" spans="1:24" x14ac:dyDescent="0.3">
      <c r="A12" s="106">
        <v>45685</v>
      </c>
      <c r="B12" s="73">
        <v>9</v>
      </c>
      <c r="C12" s="73">
        <v>1</v>
      </c>
      <c r="D12" s="74" t="s">
        <v>424</v>
      </c>
      <c r="E12" s="74"/>
      <c r="F12" s="74" t="s">
        <v>76</v>
      </c>
      <c r="G12" s="74"/>
      <c r="H12" s="75" t="s">
        <v>1</v>
      </c>
      <c r="I12" s="75" t="s">
        <v>1</v>
      </c>
      <c r="J12" s="74" t="s">
        <v>423</v>
      </c>
      <c r="K12" s="74"/>
      <c r="L12" s="105" t="s">
        <v>209</v>
      </c>
      <c r="M12" s="105" t="s">
        <v>209</v>
      </c>
      <c r="N12" s="74"/>
      <c r="O12" s="73">
        <v>6810</v>
      </c>
      <c r="P12" s="73">
        <v>6810</v>
      </c>
      <c r="Q12" s="104">
        <f>P12-O12</f>
        <v>0</v>
      </c>
      <c r="R12" s="73"/>
      <c r="S12" s="73"/>
      <c r="T12" s="72">
        <v>6500</v>
      </c>
      <c r="U12" s="103">
        <v>45264</v>
      </c>
      <c r="V12" s="72">
        <f>500+T12</f>
        <v>7000</v>
      </c>
      <c r="W12" s="72">
        <f>V12-P12</f>
        <v>190</v>
      </c>
      <c r="X12" s="72" t="s">
        <v>422</v>
      </c>
    </row>
    <row r="13" spans="1:24" ht="28.8" x14ac:dyDescent="0.3">
      <c r="A13" s="6">
        <v>45685</v>
      </c>
      <c r="B13" s="24">
        <v>10</v>
      </c>
      <c r="C13" s="24">
        <v>2</v>
      </c>
      <c r="D13" s="71" t="s">
        <v>421</v>
      </c>
      <c r="E13" s="71"/>
      <c r="F13" s="71" t="s">
        <v>76</v>
      </c>
      <c r="G13" s="71"/>
      <c r="H13" s="102" t="s">
        <v>420</v>
      </c>
      <c r="I13" s="102" t="s">
        <v>420</v>
      </c>
      <c r="J13" s="23" t="s">
        <v>5</v>
      </c>
      <c r="K13" s="23"/>
      <c r="L13" s="61" t="s">
        <v>209</v>
      </c>
      <c r="M13" s="23" t="s">
        <v>419</v>
      </c>
      <c r="N13" s="77"/>
      <c r="O13" s="77">
        <v>6075</v>
      </c>
      <c r="P13" s="77">
        <v>6075</v>
      </c>
      <c r="Q13" s="13">
        <f>P13-O13</f>
        <v>0</v>
      </c>
      <c r="R13" s="13"/>
      <c r="S13" s="77" t="s">
        <v>418</v>
      </c>
      <c r="T13" s="53">
        <v>5370</v>
      </c>
      <c r="U13" s="55" t="s">
        <v>417</v>
      </c>
      <c r="V13" s="53">
        <f>500+T13</f>
        <v>5870</v>
      </c>
      <c r="W13" s="60">
        <f>V13-P13</f>
        <v>-205</v>
      </c>
      <c r="X13" s="53"/>
    </row>
    <row r="14" spans="1:24" x14ac:dyDescent="0.3">
      <c r="A14" s="6">
        <v>45685</v>
      </c>
      <c r="B14" s="29">
        <v>11</v>
      </c>
      <c r="C14" s="29">
        <v>3</v>
      </c>
      <c r="D14" s="70" t="s">
        <v>416</v>
      </c>
      <c r="E14" s="70"/>
      <c r="F14" s="70" t="s">
        <v>76</v>
      </c>
      <c r="G14" s="70"/>
      <c r="H14" s="84" t="s">
        <v>88</v>
      </c>
      <c r="I14" s="84" t="s">
        <v>88</v>
      </c>
      <c r="J14" s="70" t="s">
        <v>415</v>
      </c>
      <c r="K14" s="70"/>
      <c r="L14" s="16" t="s">
        <v>414</v>
      </c>
      <c r="M14" s="16" t="s">
        <v>414</v>
      </c>
      <c r="N14" s="29">
        <v>9340509626</v>
      </c>
      <c r="O14" s="29">
        <v>6201</v>
      </c>
      <c r="P14" s="29">
        <v>6208</v>
      </c>
      <c r="Q14" s="101">
        <f>P14-O14</f>
        <v>7</v>
      </c>
      <c r="R14" s="13">
        <v>50</v>
      </c>
      <c r="S14" s="29" t="s">
        <v>413</v>
      </c>
      <c r="T14" s="58">
        <v>5970</v>
      </c>
      <c r="U14" s="100" t="s">
        <v>412</v>
      </c>
      <c r="V14" s="58">
        <f>500+T14</f>
        <v>6470</v>
      </c>
      <c r="W14" s="58">
        <f>V14-P14</f>
        <v>262</v>
      </c>
      <c r="X14" s="29"/>
    </row>
    <row r="15" spans="1:24" x14ac:dyDescent="0.3">
      <c r="A15" s="6">
        <v>45685</v>
      </c>
      <c r="B15" s="24">
        <v>12</v>
      </c>
      <c r="C15" s="24">
        <v>4</v>
      </c>
      <c r="D15" s="68" t="s">
        <v>411</v>
      </c>
      <c r="E15" s="68"/>
      <c r="F15" s="68" t="s">
        <v>76</v>
      </c>
      <c r="G15" s="68"/>
      <c r="H15" s="69" t="s">
        <v>1</v>
      </c>
      <c r="I15" s="69" t="s">
        <v>1</v>
      </c>
      <c r="J15" s="70" t="s">
        <v>224</v>
      </c>
      <c r="K15" s="68"/>
      <c r="L15" s="16" t="s">
        <v>410</v>
      </c>
      <c r="M15" s="16" t="s">
        <v>410</v>
      </c>
      <c r="N15" s="24">
        <v>9373977549</v>
      </c>
      <c r="O15" s="65" t="s">
        <v>124</v>
      </c>
      <c r="P15" s="65"/>
      <c r="Q15" s="82" t="e">
        <f>P15-O15</f>
        <v>#VALUE!</v>
      </c>
      <c r="R15" s="65"/>
      <c r="S15" s="13" t="s">
        <v>365</v>
      </c>
      <c r="T15" s="62">
        <v>4531</v>
      </c>
      <c r="U15" s="64" t="s">
        <v>409</v>
      </c>
      <c r="V15" s="53">
        <f>500+T15</f>
        <v>5031</v>
      </c>
      <c r="W15" s="62">
        <f>V15-P15</f>
        <v>5031</v>
      </c>
      <c r="X15" s="62" t="s">
        <v>299</v>
      </c>
    </row>
    <row r="16" spans="1:24" x14ac:dyDescent="0.3">
      <c r="A16" s="6">
        <v>45685</v>
      </c>
      <c r="B16" s="24">
        <v>13</v>
      </c>
      <c r="C16" s="24">
        <v>5</v>
      </c>
      <c r="D16" s="71" t="s">
        <v>408</v>
      </c>
      <c r="E16" s="71"/>
      <c r="F16" s="71" t="s">
        <v>76</v>
      </c>
      <c r="G16" s="71"/>
      <c r="H16" s="23" t="s">
        <v>362</v>
      </c>
      <c r="I16" s="23" t="s">
        <v>362</v>
      </c>
      <c r="J16" s="71" t="s">
        <v>5</v>
      </c>
      <c r="K16" s="71"/>
      <c r="L16" s="23" t="s">
        <v>407</v>
      </c>
      <c r="M16" s="23" t="s">
        <v>407</v>
      </c>
      <c r="N16" s="77">
        <v>7004505989</v>
      </c>
      <c r="O16" s="13">
        <v>1673</v>
      </c>
      <c r="P16" s="13">
        <v>1678</v>
      </c>
      <c r="Q16" s="82">
        <f>P16-O16</f>
        <v>5</v>
      </c>
      <c r="R16" s="13"/>
      <c r="S16" s="29" t="s">
        <v>406</v>
      </c>
      <c r="T16" s="53">
        <v>1138</v>
      </c>
      <c r="U16" s="55" t="s">
        <v>405</v>
      </c>
      <c r="V16" s="53">
        <f>500+T16</f>
        <v>1638</v>
      </c>
      <c r="W16" s="53">
        <f>V16-P16</f>
        <v>-40</v>
      </c>
      <c r="X16" s="53"/>
    </row>
    <row r="17" spans="1:24" x14ac:dyDescent="0.3">
      <c r="A17" s="6">
        <v>45685</v>
      </c>
      <c r="B17" s="56" t="s">
        <v>404</v>
      </c>
      <c r="C17" s="56"/>
      <c r="D17" s="56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13"/>
      <c r="P17" s="13"/>
      <c r="Q17" s="82"/>
      <c r="R17" s="13"/>
      <c r="S17" s="13"/>
      <c r="T17" s="53"/>
      <c r="U17" s="53"/>
      <c r="V17" s="53"/>
      <c r="W17" s="53"/>
      <c r="X17" s="99"/>
    </row>
    <row r="18" spans="1:24" x14ac:dyDescent="0.3">
      <c r="A18" s="6">
        <v>45685</v>
      </c>
      <c r="B18" s="24">
        <v>14</v>
      </c>
      <c r="C18" s="24">
        <v>1</v>
      </c>
      <c r="D18" s="71" t="s">
        <v>403</v>
      </c>
      <c r="E18" s="71"/>
      <c r="F18" s="71" t="s">
        <v>76</v>
      </c>
      <c r="G18" s="71"/>
      <c r="H18" s="15" t="s">
        <v>173</v>
      </c>
      <c r="I18" s="15" t="s">
        <v>173</v>
      </c>
      <c r="J18" s="70" t="s">
        <v>224</v>
      </c>
      <c r="K18" s="16"/>
      <c r="L18" s="16" t="s">
        <v>402</v>
      </c>
      <c r="M18" s="16" t="s">
        <v>402</v>
      </c>
      <c r="N18" s="24">
        <v>9322560254</v>
      </c>
      <c r="O18" s="13">
        <v>12054</v>
      </c>
      <c r="P18" s="13">
        <v>12066</v>
      </c>
      <c r="Q18" s="13">
        <f>P18-O18</f>
        <v>12</v>
      </c>
      <c r="R18" s="13">
        <v>44</v>
      </c>
      <c r="S18" s="13" t="s">
        <v>401</v>
      </c>
      <c r="T18" s="53">
        <v>11429</v>
      </c>
      <c r="U18" s="53" t="s">
        <v>400</v>
      </c>
      <c r="V18" s="53">
        <f>500+T18</f>
        <v>11929</v>
      </c>
      <c r="W18" s="60">
        <f>V18-P18</f>
        <v>-137</v>
      </c>
      <c r="X18" s="53"/>
    </row>
    <row r="19" spans="1:24" x14ac:dyDescent="0.3">
      <c r="A19" s="6">
        <v>45685</v>
      </c>
      <c r="B19" s="24">
        <v>15</v>
      </c>
      <c r="C19" s="24">
        <v>2</v>
      </c>
      <c r="D19" s="16" t="s">
        <v>399</v>
      </c>
      <c r="E19" s="16"/>
      <c r="F19" s="16" t="s">
        <v>76</v>
      </c>
      <c r="G19" s="16"/>
      <c r="H19" s="23" t="s">
        <v>398</v>
      </c>
      <c r="I19" s="23" t="s">
        <v>398</v>
      </c>
      <c r="J19" s="16" t="s">
        <v>5</v>
      </c>
      <c r="K19" s="23"/>
      <c r="L19" s="23" t="s">
        <v>397</v>
      </c>
      <c r="M19" s="23" t="s">
        <v>397</v>
      </c>
      <c r="N19" s="77">
        <v>7370854150</v>
      </c>
      <c r="O19" s="13">
        <v>11093</v>
      </c>
      <c r="P19" s="13">
        <v>11098</v>
      </c>
      <c r="Q19" s="13">
        <f>P19-O19</f>
        <v>5</v>
      </c>
      <c r="R19" s="13"/>
      <c r="S19" s="77" t="s">
        <v>374</v>
      </c>
      <c r="T19" s="53">
        <v>10595</v>
      </c>
      <c r="U19" s="53" t="s">
        <v>396</v>
      </c>
      <c r="V19" s="53">
        <f>500+T19</f>
        <v>11095</v>
      </c>
      <c r="W19" s="53">
        <f>V19-P19</f>
        <v>-3</v>
      </c>
      <c r="X19" s="53" t="s">
        <v>386</v>
      </c>
    </row>
    <row r="20" spans="1:24" ht="45" customHeight="1" x14ac:dyDescent="0.3">
      <c r="A20" s="6">
        <v>45685</v>
      </c>
      <c r="B20" s="24">
        <v>16</v>
      </c>
      <c r="C20" s="24">
        <v>3</v>
      </c>
      <c r="D20" s="16" t="s">
        <v>395</v>
      </c>
      <c r="E20" s="16"/>
      <c r="F20" s="16" t="s">
        <v>76</v>
      </c>
      <c r="G20" s="16"/>
      <c r="H20" s="15" t="s">
        <v>235</v>
      </c>
      <c r="I20" s="15" t="s">
        <v>235</v>
      </c>
      <c r="J20" s="70" t="s">
        <v>5</v>
      </c>
      <c r="K20" s="16"/>
      <c r="L20" s="16" t="s">
        <v>394</v>
      </c>
      <c r="M20" s="16" t="s">
        <v>394</v>
      </c>
      <c r="N20" s="24">
        <v>9608872368</v>
      </c>
      <c r="O20" s="98" t="s">
        <v>124</v>
      </c>
      <c r="P20" s="97"/>
      <c r="Q20" s="82" t="e">
        <f>P20-O20</f>
        <v>#VALUE!</v>
      </c>
      <c r="R20" s="13"/>
      <c r="S20" s="77" t="s">
        <v>393</v>
      </c>
      <c r="T20" s="53">
        <v>11810</v>
      </c>
      <c r="U20" s="55" t="s">
        <v>392</v>
      </c>
      <c r="V20" s="53">
        <f>500+T20</f>
        <v>12310</v>
      </c>
      <c r="W20" s="53">
        <f>V20-P20</f>
        <v>12310</v>
      </c>
      <c r="X20" s="53"/>
    </row>
    <row r="21" spans="1:24" x14ac:dyDescent="0.3">
      <c r="A21" s="6">
        <v>45685</v>
      </c>
      <c r="B21" s="24">
        <v>17</v>
      </c>
      <c r="C21" s="24">
        <v>4</v>
      </c>
      <c r="D21" s="16" t="s">
        <v>391</v>
      </c>
      <c r="E21" s="16"/>
      <c r="F21" s="16" t="s">
        <v>76</v>
      </c>
      <c r="G21" s="16"/>
      <c r="H21" s="23" t="s">
        <v>390</v>
      </c>
      <c r="I21" s="23" t="s">
        <v>390</v>
      </c>
      <c r="J21" s="16" t="s">
        <v>5</v>
      </c>
      <c r="K21" s="23"/>
      <c r="L21" s="23" t="s">
        <v>389</v>
      </c>
      <c r="M21" s="23" t="s">
        <v>389</v>
      </c>
      <c r="N21" s="77">
        <v>9769048984</v>
      </c>
      <c r="O21" s="13">
        <v>12495</v>
      </c>
      <c r="P21" s="13">
        <v>12499</v>
      </c>
      <c r="Q21" s="13">
        <f>P21-O21</f>
        <v>4</v>
      </c>
      <c r="R21" s="13"/>
      <c r="S21" s="96" t="s">
        <v>388</v>
      </c>
      <c r="T21" s="53">
        <v>11854</v>
      </c>
      <c r="U21" s="55" t="s">
        <v>387</v>
      </c>
      <c r="V21" s="53">
        <f>500+T21</f>
        <v>12354</v>
      </c>
      <c r="W21" s="60">
        <f>V21-P21</f>
        <v>-145</v>
      </c>
      <c r="X21" s="53" t="s">
        <v>386</v>
      </c>
    </row>
    <row r="22" spans="1:24" ht="28.8" x14ac:dyDescent="0.3">
      <c r="A22" s="6">
        <v>45685</v>
      </c>
      <c r="B22" s="24">
        <v>18</v>
      </c>
      <c r="C22" s="24">
        <v>5</v>
      </c>
      <c r="D22" s="16" t="s">
        <v>385</v>
      </c>
      <c r="E22" s="16"/>
      <c r="F22" s="16" t="s">
        <v>76</v>
      </c>
      <c r="G22" s="16"/>
      <c r="H22" s="95" t="s">
        <v>384</v>
      </c>
      <c r="I22" s="95" t="s">
        <v>384</v>
      </c>
      <c r="J22" s="16" t="s">
        <v>5</v>
      </c>
      <c r="K22" s="23"/>
      <c r="L22" s="23" t="s">
        <v>383</v>
      </c>
      <c r="M22" s="23"/>
      <c r="N22" s="77"/>
      <c r="O22" s="13">
        <v>11281</v>
      </c>
      <c r="P22" s="13">
        <v>11281</v>
      </c>
      <c r="Q22" s="13">
        <f>P22-O22</f>
        <v>0</v>
      </c>
      <c r="R22" s="13"/>
      <c r="S22" s="77" t="s">
        <v>382</v>
      </c>
      <c r="T22" s="53">
        <v>10456</v>
      </c>
      <c r="U22" s="55" t="s">
        <v>381</v>
      </c>
      <c r="V22" s="53">
        <f>500+T22</f>
        <v>10956</v>
      </c>
      <c r="W22" s="60">
        <f>V22-P22</f>
        <v>-325</v>
      </c>
      <c r="X22" s="53"/>
    </row>
    <row r="23" spans="1:24" x14ac:dyDescent="0.3">
      <c r="A23" s="6">
        <v>45685</v>
      </c>
      <c r="B23" s="24">
        <v>19</v>
      </c>
      <c r="C23" s="24">
        <v>6</v>
      </c>
      <c r="D23" s="16" t="s">
        <v>380</v>
      </c>
      <c r="E23" s="16"/>
      <c r="F23" s="16" t="s">
        <v>76</v>
      </c>
      <c r="G23" s="16"/>
      <c r="H23" s="15" t="s">
        <v>235</v>
      </c>
      <c r="I23" s="15" t="s">
        <v>235</v>
      </c>
      <c r="J23" s="16" t="s">
        <v>5</v>
      </c>
      <c r="K23" s="16"/>
      <c r="L23" s="23" t="s">
        <v>379</v>
      </c>
      <c r="M23" s="23" t="s">
        <v>379</v>
      </c>
      <c r="N23" s="77">
        <v>9236489288</v>
      </c>
      <c r="O23" s="13">
        <v>10216</v>
      </c>
      <c r="P23" s="13">
        <v>10216</v>
      </c>
      <c r="Q23" s="13">
        <f>P23-O23</f>
        <v>0</v>
      </c>
      <c r="R23" s="13"/>
      <c r="S23" s="24" t="s">
        <v>378</v>
      </c>
      <c r="T23" s="53">
        <v>9754</v>
      </c>
      <c r="U23" s="55" t="s">
        <v>377</v>
      </c>
      <c r="V23" s="53">
        <f>500+T23</f>
        <v>10254</v>
      </c>
      <c r="W23" s="58">
        <f>V23-P23</f>
        <v>38</v>
      </c>
      <c r="X23" s="53"/>
    </row>
    <row r="24" spans="1:24" x14ac:dyDescent="0.3">
      <c r="A24" s="6">
        <v>45685</v>
      </c>
      <c r="B24" s="24">
        <v>20</v>
      </c>
      <c r="C24" s="24">
        <v>7</v>
      </c>
      <c r="D24" s="16" t="s">
        <v>376</v>
      </c>
      <c r="E24" s="16"/>
      <c r="F24" s="16" t="s">
        <v>76</v>
      </c>
      <c r="G24" s="16"/>
      <c r="H24" s="15" t="s">
        <v>83</v>
      </c>
      <c r="I24" s="15" t="s">
        <v>83</v>
      </c>
      <c r="J24" s="70" t="s">
        <v>224</v>
      </c>
      <c r="K24" s="16"/>
      <c r="L24" s="23" t="s">
        <v>375</v>
      </c>
      <c r="M24" s="23" t="s">
        <v>375</v>
      </c>
      <c r="N24" s="77">
        <v>6201225037</v>
      </c>
      <c r="O24" s="24">
        <v>11286</v>
      </c>
      <c r="P24" s="24">
        <v>11304</v>
      </c>
      <c r="Q24" s="13">
        <f>P24-O24</f>
        <v>18</v>
      </c>
      <c r="R24" s="13">
        <v>40</v>
      </c>
      <c r="S24" s="77" t="s">
        <v>374</v>
      </c>
      <c r="T24" s="53">
        <v>9746</v>
      </c>
      <c r="U24" s="55" t="s">
        <v>373</v>
      </c>
      <c r="V24" s="53">
        <f>500+T24</f>
        <v>10246</v>
      </c>
      <c r="W24" s="60">
        <f>V24-P24</f>
        <v>-1058</v>
      </c>
      <c r="X24" s="53"/>
    </row>
    <row r="25" spans="1:24" x14ac:dyDescent="0.3">
      <c r="A25" s="6">
        <v>45685</v>
      </c>
      <c r="B25" s="24">
        <v>21</v>
      </c>
      <c r="C25" s="24">
        <v>8</v>
      </c>
      <c r="D25" s="16" t="s">
        <v>372</v>
      </c>
      <c r="E25" s="16"/>
      <c r="F25" s="16" t="s">
        <v>76</v>
      </c>
      <c r="G25" s="16"/>
      <c r="H25" s="15" t="s">
        <v>371</v>
      </c>
      <c r="I25" s="15" t="s">
        <v>371</v>
      </c>
      <c r="J25" s="70" t="s">
        <v>5</v>
      </c>
      <c r="K25" s="16"/>
      <c r="L25" s="16" t="s">
        <v>370</v>
      </c>
      <c r="M25" s="16" t="s">
        <v>370</v>
      </c>
      <c r="N25" s="9">
        <v>8210062875</v>
      </c>
      <c r="O25" s="24">
        <v>10630</v>
      </c>
      <c r="P25" s="24">
        <v>10636</v>
      </c>
      <c r="Q25" s="13">
        <f>P25-O25</f>
        <v>6</v>
      </c>
      <c r="R25" s="13">
        <v>80</v>
      </c>
      <c r="S25" s="13" t="s">
        <v>369</v>
      </c>
      <c r="T25" s="53">
        <v>9652</v>
      </c>
      <c r="U25" s="53" t="s">
        <v>368</v>
      </c>
      <c r="V25" s="53">
        <f>500+T25</f>
        <v>10152</v>
      </c>
      <c r="W25" s="60">
        <f>V25-P25</f>
        <v>-484</v>
      </c>
      <c r="X25" s="53"/>
    </row>
    <row r="26" spans="1:24" x14ac:dyDescent="0.3">
      <c r="A26" s="6">
        <v>45685</v>
      </c>
      <c r="B26" s="24">
        <v>22</v>
      </c>
      <c r="C26" s="24">
        <v>9</v>
      </c>
      <c r="D26" s="16" t="s">
        <v>367</v>
      </c>
      <c r="E26" s="16"/>
      <c r="F26" s="16" t="s">
        <v>76</v>
      </c>
      <c r="G26" s="16"/>
      <c r="H26" s="15" t="s">
        <v>20</v>
      </c>
      <c r="I26" s="15" t="s">
        <v>20</v>
      </c>
      <c r="J26" s="16" t="s">
        <v>5</v>
      </c>
      <c r="K26" s="16"/>
      <c r="L26" s="16" t="s">
        <v>366</v>
      </c>
      <c r="M26" s="16" t="s">
        <v>366</v>
      </c>
      <c r="N26" s="24">
        <v>9918916365</v>
      </c>
      <c r="O26" s="24">
        <v>8978</v>
      </c>
      <c r="P26" s="24">
        <v>8979</v>
      </c>
      <c r="Q26" s="13">
        <f>P26-O26</f>
        <v>1</v>
      </c>
      <c r="R26" s="13"/>
      <c r="S26" s="24" t="s">
        <v>365</v>
      </c>
      <c r="T26" s="53">
        <v>8485</v>
      </c>
      <c r="U26" s="53" t="s">
        <v>364</v>
      </c>
      <c r="V26" s="53">
        <f>500+T26</f>
        <v>8985</v>
      </c>
      <c r="W26" s="53">
        <f>V26-P26</f>
        <v>6</v>
      </c>
      <c r="X26" s="53"/>
    </row>
    <row r="27" spans="1:24" x14ac:dyDescent="0.3">
      <c r="A27" s="6">
        <v>45685</v>
      </c>
      <c r="B27" s="24">
        <v>23</v>
      </c>
      <c r="C27" s="29">
        <v>10</v>
      </c>
      <c r="D27" s="70" t="s">
        <v>363</v>
      </c>
      <c r="E27" s="70"/>
      <c r="F27" s="70" t="s">
        <v>76</v>
      </c>
      <c r="G27" s="70"/>
      <c r="H27" s="84" t="s">
        <v>362</v>
      </c>
      <c r="I27" s="84" t="s">
        <v>362</v>
      </c>
      <c r="J27" s="16" t="s">
        <v>5</v>
      </c>
      <c r="K27" s="70"/>
      <c r="L27" s="70" t="s">
        <v>361</v>
      </c>
      <c r="M27" s="70" t="s">
        <v>361</v>
      </c>
      <c r="N27" s="10">
        <v>9153340345</v>
      </c>
      <c r="O27" s="94">
        <v>7535</v>
      </c>
      <c r="P27" s="94">
        <v>7548</v>
      </c>
      <c r="Q27" s="13">
        <f>P27-O27</f>
        <v>13</v>
      </c>
      <c r="R27" s="13">
        <v>70</v>
      </c>
      <c r="S27" s="29" t="s">
        <v>360</v>
      </c>
      <c r="T27" s="58">
        <v>6952</v>
      </c>
      <c r="U27" s="58" t="s">
        <v>359</v>
      </c>
      <c r="V27" s="58">
        <f>500+T27</f>
        <v>7452</v>
      </c>
      <c r="W27" s="53">
        <f>V27-P27</f>
        <v>-96</v>
      </c>
      <c r="X27" s="58"/>
    </row>
    <row r="28" spans="1:24" x14ac:dyDescent="0.3">
      <c r="A28" s="6">
        <v>45685</v>
      </c>
      <c r="B28" s="24">
        <v>24</v>
      </c>
      <c r="C28" s="24">
        <v>11</v>
      </c>
      <c r="D28" s="16" t="s">
        <v>358</v>
      </c>
      <c r="E28" s="16"/>
      <c r="F28" s="16" t="s">
        <v>76</v>
      </c>
      <c r="G28" s="16"/>
      <c r="H28" s="15" t="s">
        <v>357</v>
      </c>
      <c r="I28" s="15" t="s">
        <v>357</v>
      </c>
      <c r="J28" s="70" t="s">
        <v>224</v>
      </c>
      <c r="K28" s="16"/>
      <c r="L28" s="15" t="s">
        <v>356</v>
      </c>
      <c r="M28" s="15" t="s">
        <v>356</v>
      </c>
      <c r="N28" s="9">
        <v>8780182514</v>
      </c>
      <c r="O28" s="24">
        <v>8490</v>
      </c>
      <c r="P28" s="24">
        <v>8490</v>
      </c>
      <c r="Q28" s="13">
        <f>P28-O28</f>
        <v>0</v>
      </c>
      <c r="R28" s="13"/>
      <c r="S28" s="24" t="s">
        <v>355</v>
      </c>
      <c r="T28" s="53">
        <v>7632</v>
      </c>
      <c r="U28" s="53" t="s">
        <v>354</v>
      </c>
      <c r="V28" s="53">
        <f>500+T28</f>
        <v>8132</v>
      </c>
      <c r="W28" s="60">
        <f>V28-P28</f>
        <v>-358</v>
      </c>
      <c r="X28" s="53"/>
    </row>
    <row r="29" spans="1:24" x14ac:dyDescent="0.3">
      <c r="A29" s="6">
        <v>45685</v>
      </c>
      <c r="B29" s="24">
        <v>25</v>
      </c>
      <c r="C29" s="24">
        <v>12</v>
      </c>
      <c r="D29" s="16" t="s">
        <v>353</v>
      </c>
      <c r="E29" s="16"/>
      <c r="F29" s="16" t="s">
        <v>76</v>
      </c>
      <c r="G29" s="16"/>
      <c r="H29" s="15" t="s">
        <v>352</v>
      </c>
      <c r="I29" s="15" t="s">
        <v>163</v>
      </c>
      <c r="J29" s="70" t="s">
        <v>224</v>
      </c>
      <c r="K29" s="16"/>
      <c r="L29" s="16" t="s">
        <v>351</v>
      </c>
      <c r="M29" s="16" t="s">
        <v>351</v>
      </c>
      <c r="N29" s="24">
        <v>9529348259</v>
      </c>
      <c r="O29" s="24">
        <v>7950</v>
      </c>
      <c r="P29" s="24">
        <v>7959</v>
      </c>
      <c r="Q29" s="13">
        <f>P29-O29</f>
        <v>9</v>
      </c>
      <c r="R29" s="13">
        <v>93</v>
      </c>
      <c r="S29" s="24" t="s">
        <v>350</v>
      </c>
      <c r="T29" s="53">
        <v>7902</v>
      </c>
      <c r="U29" s="53" t="s">
        <v>349</v>
      </c>
      <c r="V29" s="53">
        <f>500+T29</f>
        <v>8402</v>
      </c>
      <c r="W29" s="53">
        <f>V29-P29</f>
        <v>443</v>
      </c>
      <c r="X29" s="53"/>
    </row>
    <row r="30" spans="1:24" x14ac:dyDescent="0.3">
      <c r="A30" s="6">
        <v>45685</v>
      </c>
      <c r="B30" s="24">
        <v>26</v>
      </c>
      <c r="C30" s="24">
        <v>13</v>
      </c>
      <c r="D30" s="16" t="s">
        <v>348</v>
      </c>
      <c r="E30" s="16"/>
      <c r="F30" s="16" t="s">
        <v>76</v>
      </c>
      <c r="G30" s="16"/>
      <c r="H30" s="15" t="s">
        <v>95</v>
      </c>
      <c r="I30" s="15" t="s">
        <v>95</v>
      </c>
      <c r="J30" s="16" t="s">
        <v>5</v>
      </c>
      <c r="K30" s="16"/>
      <c r="L30" s="16" t="s">
        <v>347</v>
      </c>
      <c r="M30" s="16" t="s">
        <v>347</v>
      </c>
      <c r="N30" s="24">
        <v>8999531396</v>
      </c>
      <c r="O30" s="82">
        <v>9151</v>
      </c>
      <c r="P30" s="82">
        <v>9158</v>
      </c>
      <c r="Q30" s="13">
        <f>P30-O30</f>
        <v>7</v>
      </c>
      <c r="R30" s="13"/>
      <c r="S30" s="24" t="s">
        <v>238</v>
      </c>
      <c r="T30" s="53">
        <v>9013</v>
      </c>
      <c r="U30" s="53" t="s">
        <v>346</v>
      </c>
      <c r="V30" s="53">
        <f>500+T30</f>
        <v>9513</v>
      </c>
      <c r="W30" s="93">
        <f>V30-P30</f>
        <v>355</v>
      </c>
      <c r="X30" s="53"/>
    </row>
    <row r="31" spans="1:24" x14ac:dyDescent="0.3">
      <c r="A31" s="6">
        <v>45685</v>
      </c>
      <c r="B31" s="24">
        <v>27</v>
      </c>
      <c r="C31" s="24">
        <v>14</v>
      </c>
      <c r="D31" s="71" t="s">
        <v>345</v>
      </c>
      <c r="E31" s="16"/>
      <c r="F31" s="16" t="s">
        <v>76</v>
      </c>
      <c r="G31" s="16"/>
      <c r="H31" s="15" t="s">
        <v>173</v>
      </c>
      <c r="I31" s="15" t="s">
        <v>173</v>
      </c>
      <c r="J31" s="16" t="s">
        <v>5</v>
      </c>
      <c r="K31" s="16"/>
      <c r="L31" s="16" t="s">
        <v>344</v>
      </c>
      <c r="M31" s="16" t="s">
        <v>344</v>
      </c>
      <c r="N31" s="24">
        <v>8956342096</v>
      </c>
      <c r="O31" s="82">
        <v>9454</v>
      </c>
      <c r="P31" s="82">
        <v>9472</v>
      </c>
      <c r="Q31" s="13">
        <f>P31-O31</f>
        <v>18</v>
      </c>
      <c r="R31" s="13"/>
      <c r="S31" s="24" t="s">
        <v>343</v>
      </c>
      <c r="T31" s="53">
        <v>8665</v>
      </c>
      <c r="U31" s="53" t="s">
        <v>342</v>
      </c>
      <c r="V31" s="53">
        <f>500+T31</f>
        <v>9165</v>
      </c>
      <c r="W31" s="60">
        <f>V31-P31</f>
        <v>-307</v>
      </c>
      <c r="X31" s="53"/>
    </row>
    <row r="32" spans="1:24" x14ac:dyDescent="0.3">
      <c r="A32" s="6">
        <v>45685</v>
      </c>
      <c r="B32" s="56" t="s">
        <v>341</v>
      </c>
      <c r="C32" s="56"/>
      <c r="D32" s="56"/>
      <c r="E32" s="16"/>
      <c r="F32" s="16"/>
      <c r="G32" s="16"/>
      <c r="H32" s="16"/>
      <c r="I32" s="16"/>
      <c r="J32" s="16"/>
      <c r="K32" s="16"/>
      <c r="L32" s="16"/>
      <c r="M32" s="16"/>
      <c r="N32" s="24"/>
      <c r="O32" s="24"/>
      <c r="P32" s="24"/>
      <c r="Q32" s="13"/>
      <c r="R32" s="13"/>
      <c r="S32" s="24"/>
      <c r="T32" s="53"/>
      <c r="U32" s="53"/>
      <c r="V32" s="53"/>
      <c r="W32" s="53"/>
      <c r="X32" s="53"/>
    </row>
    <row r="33" spans="1:24" x14ac:dyDescent="0.3">
      <c r="A33" s="6">
        <v>45685</v>
      </c>
      <c r="B33" s="56" t="s">
        <v>340</v>
      </c>
      <c r="C33" s="56"/>
      <c r="D33" s="56"/>
      <c r="E33" s="16"/>
      <c r="F33" s="16"/>
      <c r="G33" s="16"/>
      <c r="H33" s="16"/>
      <c r="I33" s="16"/>
      <c r="J33" s="16"/>
      <c r="K33" s="16"/>
      <c r="L33" s="16"/>
      <c r="M33" s="16"/>
      <c r="N33" s="24"/>
      <c r="O33" s="24"/>
      <c r="P33" s="24"/>
      <c r="Q33" s="13"/>
      <c r="R33" s="13"/>
      <c r="S33" s="24"/>
      <c r="T33" s="53"/>
      <c r="U33" s="53"/>
      <c r="V33" s="53"/>
      <c r="W33" s="53"/>
      <c r="X33" s="53"/>
    </row>
    <row r="34" spans="1:24" ht="28.8" x14ac:dyDescent="0.3">
      <c r="A34" s="6">
        <v>45685</v>
      </c>
      <c r="B34" s="24">
        <v>28</v>
      </c>
      <c r="C34" s="24">
        <v>1</v>
      </c>
      <c r="D34" s="16" t="s">
        <v>339</v>
      </c>
      <c r="E34" s="16"/>
      <c r="F34" s="16" t="s">
        <v>76</v>
      </c>
      <c r="G34" s="16"/>
      <c r="H34" s="15" t="s">
        <v>338</v>
      </c>
      <c r="I34" s="15" t="s">
        <v>338</v>
      </c>
      <c r="J34" s="16" t="s">
        <v>5</v>
      </c>
      <c r="K34" s="16"/>
      <c r="L34" s="61" t="s">
        <v>149</v>
      </c>
      <c r="M34" s="61" t="s">
        <v>149</v>
      </c>
      <c r="N34" s="24"/>
      <c r="O34" s="24">
        <v>4744</v>
      </c>
      <c r="P34" s="24">
        <v>4744</v>
      </c>
      <c r="Q34" s="13">
        <f>P34-O34</f>
        <v>0</v>
      </c>
      <c r="R34" s="24"/>
      <c r="S34" s="24" t="s">
        <v>337</v>
      </c>
      <c r="T34" s="53">
        <v>4276</v>
      </c>
      <c r="U34" s="53" t="s">
        <v>336</v>
      </c>
      <c r="V34" s="53">
        <f>500+T34</f>
        <v>4776</v>
      </c>
      <c r="W34" s="60">
        <f>V34-P34</f>
        <v>32</v>
      </c>
      <c r="X34" s="53"/>
    </row>
    <row r="35" spans="1:24" x14ac:dyDescent="0.3">
      <c r="A35" s="6">
        <v>45685</v>
      </c>
      <c r="B35" s="65">
        <v>29</v>
      </c>
      <c r="C35" s="24">
        <v>2</v>
      </c>
      <c r="D35" s="68" t="s">
        <v>335</v>
      </c>
      <c r="E35" s="68"/>
      <c r="F35" s="68" t="s">
        <v>76</v>
      </c>
      <c r="G35" s="68"/>
      <c r="H35" s="69" t="s">
        <v>334</v>
      </c>
      <c r="I35" s="69" t="s">
        <v>334</v>
      </c>
      <c r="J35" s="92" t="s">
        <v>224</v>
      </c>
      <c r="K35" s="16"/>
      <c r="L35" s="92" t="s">
        <v>333</v>
      </c>
      <c r="M35" s="92" t="s">
        <v>333</v>
      </c>
      <c r="N35" s="24"/>
      <c r="O35" s="65">
        <v>3177.9</v>
      </c>
      <c r="P35" s="65">
        <v>3177.9</v>
      </c>
      <c r="Q35" s="13">
        <f>P35-O35</f>
        <v>0</v>
      </c>
      <c r="R35" s="65"/>
      <c r="S35" s="91" t="s">
        <v>312</v>
      </c>
      <c r="T35" s="62">
        <v>3177</v>
      </c>
      <c r="U35" s="62" t="s">
        <v>332</v>
      </c>
      <c r="V35" s="62">
        <f>500+T35</f>
        <v>3677</v>
      </c>
      <c r="W35" s="90">
        <f>V35-P35</f>
        <v>499.09999999999991</v>
      </c>
      <c r="X35" s="62"/>
    </row>
    <row r="36" spans="1:24" x14ac:dyDescent="0.3">
      <c r="A36" s="6">
        <v>45685</v>
      </c>
      <c r="B36" s="56" t="s">
        <v>331</v>
      </c>
      <c r="C36" s="56"/>
      <c r="D36" s="56"/>
      <c r="E36" s="16"/>
      <c r="F36" s="16"/>
      <c r="G36" s="16"/>
      <c r="H36" s="15"/>
      <c r="I36" s="15"/>
      <c r="J36" s="16"/>
      <c r="K36" s="16"/>
      <c r="L36" s="16"/>
      <c r="M36" s="16"/>
      <c r="N36" s="24"/>
      <c r="O36" s="24"/>
      <c r="P36" s="24"/>
      <c r="Q36" s="13"/>
      <c r="R36" s="24"/>
      <c r="S36" s="24"/>
      <c r="T36" s="24"/>
      <c r="U36" s="24"/>
      <c r="V36" s="53"/>
      <c r="W36" s="53"/>
      <c r="X36" s="53"/>
    </row>
    <row r="37" spans="1:24" x14ac:dyDescent="0.3">
      <c r="A37" s="6">
        <v>45685</v>
      </c>
      <c r="B37" s="24">
        <v>30</v>
      </c>
      <c r="C37" s="24">
        <v>1</v>
      </c>
      <c r="D37" s="16" t="s">
        <v>330</v>
      </c>
      <c r="E37" s="16"/>
      <c r="F37" s="16" t="s">
        <v>76</v>
      </c>
      <c r="G37" s="16"/>
      <c r="H37" s="15" t="s">
        <v>88</v>
      </c>
      <c r="I37" s="15" t="s">
        <v>88</v>
      </c>
      <c r="J37" s="16" t="s">
        <v>329</v>
      </c>
      <c r="K37" s="71"/>
      <c r="L37" s="61" t="s">
        <v>149</v>
      </c>
      <c r="M37" s="61" t="s">
        <v>149</v>
      </c>
      <c r="N37" s="24"/>
      <c r="O37" s="24">
        <v>2956</v>
      </c>
      <c r="P37" s="24">
        <v>2956</v>
      </c>
      <c r="Q37" s="13">
        <f>P37-O37</f>
        <v>0</v>
      </c>
      <c r="R37" s="24"/>
      <c r="S37" s="24"/>
      <c r="T37" s="53">
        <v>2822</v>
      </c>
      <c r="U37" s="53" t="s">
        <v>328</v>
      </c>
      <c r="V37" s="53">
        <f>500+T37</f>
        <v>3322</v>
      </c>
      <c r="W37" s="53">
        <f>V37-P37</f>
        <v>366</v>
      </c>
      <c r="X37" s="53" t="s">
        <v>327</v>
      </c>
    </row>
    <row r="38" spans="1:24" x14ac:dyDescent="0.3">
      <c r="A38" s="6">
        <v>45685</v>
      </c>
      <c r="B38" s="24">
        <v>31</v>
      </c>
      <c r="C38" s="24">
        <v>2</v>
      </c>
      <c r="D38" s="16" t="s">
        <v>326</v>
      </c>
      <c r="E38" s="16"/>
      <c r="F38" s="16" t="s">
        <v>76</v>
      </c>
      <c r="G38" s="16"/>
      <c r="H38" s="15" t="s">
        <v>39</v>
      </c>
      <c r="I38" s="15" t="s">
        <v>39</v>
      </c>
      <c r="J38" s="16" t="s">
        <v>224</v>
      </c>
      <c r="K38" s="16"/>
      <c r="L38" s="16" t="s">
        <v>325</v>
      </c>
      <c r="M38" s="16" t="s">
        <v>325</v>
      </c>
      <c r="N38" s="24"/>
      <c r="O38" s="24">
        <v>3037</v>
      </c>
      <c r="P38" s="24">
        <v>3043</v>
      </c>
      <c r="Q38" s="13">
        <f>P38-O38</f>
        <v>6</v>
      </c>
      <c r="R38" s="24"/>
      <c r="S38" s="24" t="s">
        <v>324</v>
      </c>
      <c r="T38" s="53">
        <v>2562</v>
      </c>
      <c r="U38" s="53" t="s">
        <v>323</v>
      </c>
      <c r="V38" s="58">
        <f>500+T38</f>
        <v>3062</v>
      </c>
      <c r="W38" s="53">
        <f>V38-P38</f>
        <v>19</v>
      </c>
      <c r="X38" s="53"/>
    </row>
    <row r="39" spans="1:24" x14ac:dyDescent="0.3">
      <c r="A39" s="6">
        <v>45685</v>
      </c>
      <c r="B39" s="24">
        <v>32</v>
      </c>
      <c r="C39" s="24">
        <v>3</v>
      </c>
      <c r="D39" s="16" t="s">
        <v>322</v>
      </c>
      <c r="E39" s="16"/>
      <c r="F39" s="16" t="s">
        <v>76</v>
      </c>
      <c r="G39" s="16"/>
      <c r="H39" s="15" t="s">
        <v>321</v>
      </c>
      <c r="I39" s="15" t="s">
        <v>321</v>
      </c>
      <c r="J39" s="16" t="s">
        <v>224</v>
      </c>
      <c r="K39" s="16"/>
      <c r="L39" s="16" t="s">
        <v>320</v>
      </c>
      <c r="M39" s="16" t="s">
        <v>320</v>
      </c>
      <c r="N39" s="24"/>
      <c r="O39" s="24">
        <v>3436</v>
      </c>
      <c r="P39" s="24">
        <v>3438</v>
      </c>
      <c r="Q39" s="13">
        <f>P39-O39</f>
        <v>2</v>
      </c>
      <c r="R39" s="24"/>
      <c r="S39" s="24" t="s">
        <v>319</v>
      </c>
      <c r="T39" s="53">
        <v>3258</v>
      </c>
      <c r="U39" s="55" t="s">
        <v>318</v>
      </c>
      <c r="V39" s="58">
        <f>500+T39</f>
        <v>3758</v>
      </c>
      <c r="W39" s="53">
        <f>V39-P39</f>
        <v>320</v>
      </c>
      <c r="X39" s="53"/>
    </row>
    <row r="40" spans="1:24" x14ac:dyDescent="0.3">
      <c r="A40" s="6">
        <v>45685</v>
      </c>
      <c r="B40" s="56" t="s">
        <v>317</v>
      </c>
      <c r="C40" s="56"/>
      <c r="D40" s="56"/>
      <c r="E40" s="16"/>
      <c r="F40" s="16"/>
      <c r="G40" s="16"/>
      <c r="H40" s="16"/>
      <c r="I40" s="16"/>
      <c r="J40" s="16"/>
      <c r="K40" s="16"/>
      <c r="L40" s="16"/>
      <c r="M40" s="16"/>
      <c r="N40" s="24"/>
      <c r="O40" s="24"/>
      <c r="P40" s="24"/>
      <c r="Q40" s="13">
        <f>P40-O40</f>
        <v>0</v>
      </c>
      <c r="R40" s="24"/>
      <c r="S40" s="24"/>
      <c r="T40" s="53"/>
      <c r="U40" s="53"/>
      <c r="V40" s="53"/>
      <c r="W40" s="53"/>
      <c r="X40" s="53"/>
    </row>
    <row r="41" spans="1:24" x14ac:dyDescent="0.3">
      <c r="A41" s="6">
        <v>45685</v>
      </c>
      <c r="B41" s="24">
        <v>33</v>
      </c>
      <c r="C41" s="24">
        <v>1</v>
      </c>
      <c r="D41" s="16" t="s">
        <v>316</v>
      </c>
      <c r="E41" s="16"/>
      <c r="F41" s="16" t="s">
        <v>76</v>
      </c>
      <c r="G41" s="16"/>
      <c r="H41" s="15" t="s">
        <v>240</v>
      </c>
      <c r="I41" s="15" t="s">
        <v>240</v>
      </c>
      <c r="J41" s="16" t="s">
        <v>5</v>
      </c>
      <c r="K41" s="15"/>
      <c r="L41" s="61" t="s">
        <v>315</v>
      </c>
      <c r="M41" s="61" t="s">
        <v>315</v>
      </c>
      <c r="N41" s="26"/>
      <c r="O41" s="24">
        <v>2526</v>
      </c>
      <c r="P41" s="24">
        <v>2526</v>
      </c>
      <c r="Q41" s="13">
        <f>P41-O41</f>
        <v>0</v>
      </c>
      <c r="R41" s="24"/>
      <c r="S41" s="24" t="s">
        <v>307</v>
      </c>
      <c r="T41" s="53">
        <v>2526</v>
      </c>
      <c r="U41" s="53" t="s">
        <v>314</v>
      </c>
      <c r="V41" s="53">
        <f>500+T41</f>
        <v>3026</v>
      </c>
      <c r="W41" s="53">
        <f>V41-P41</f>
        <v>500</v>
      </c>
      <c r="X41" s="53" t="s">
        <v>299</v>
      </c>
    </row>
    <row r="42" spans="1:24" ht="28.8" x14ac:dyDescent="0.3">
      <c r="A42" s="6">
        <v>45685</v>
      </c>
      <c r="B42" s="24">
        <v>34</v>
      </c>
      <c r="C42" s="24">
        <v>2</v>
      </c>
      <c r="D42" s="16" t="s">
        <v>313</v>
      </c>
      <c r="E42" s="16"/>
      <c r="F42" s="16" t="s">
        <v>76</v>
      </c>
      <c r="G42" s="16"/>
      <c r="H42" s="23" t="s">
        <v>312</v>
      </c>
      <c r="I42" s="23" t="s">
        <v>312</v>
      </c>
      <c r="J42" s="23" t="s">
        <v>5</v>
      </c>
      <c r="K42" s="23"/>
      <c r="L42" s="89" t="s">
        <v>311</v>
      </c>
      <c r="M42" s="14" t="s">
        <v>311</v>
      </c>
      <c r="N42" s="88"/>
      <c r="O42" s="13">
        <v>4367</v>
      </c>
      <c r="P42" s="13">
        <v>4369</v>
      </c>
      <c r="Q42" s="13">
        <f>P42-O42</f>
        <v>2</v>
      </c>
      <c r="R42" s="24"/>
      <c r="S42" s="77" t="s">
        <v>310</v>
      </c>
      <c r="T42" s="53">
        <v>3826</v>
      </c>
      <c r="U42" s="55" t="s">
        <v>309</v>
      </c>
      <c r="V42" s="53">
        <f>500+T42</f>
        <v>4326</v>
      </c>
      <c r="W42" s="53">
        <f>V42-P42</f>
        <v>-43</v>
      </c>
      <c r="X42" s="53"/>
    </row>
    <row r="43" spans="1:24" x14ac:dyDescent="0.3">
      <c r="A43" s="6">
        <v>45685</v>
      </c>
      <c r="B43" s="24">
        <v>35</v>
      </c>
      <c r="C43" s="24">
        <v>3</v>
      </c>
      <c r="D43" s="16" t="s">
        <v>308</v>
      </c>
      <c r="E43" s="16"/>
      <c r="F43" s="16" t="s">
        <v>76</v>
      </c>
      <c r="G43" s="16"/>
      <c r="H43" s="15" t="s">
        <v>214</v>
      </c>
      <c r="I43" s="15" t="s">
        <v>214</v>
      </c>
      <c r="J43" s="16" t="s">
        <v>5</v>
      </c>
      <c r="K43" s="16"/>
      <c r="L43" s="61" t="s">
        <v>149</v>
      </c>
      <c r="M43" s="61" t="s">
        <v>149</v>
      </c>
      <c r="N43" s="24"/>
      <c r="O43" s="24"/>
      <c r="P43" s="24"/>
      <c r="Q43" s="13">
        <f>P43-O43</f>
        <v>0</v>
      </c>
      <c r="R43" s="24"/>
      <c r="S43" s="24" t="s">
        <v>307</v>
      </c>
      <c r="T43" s="53">
        <v>0</v>
      </c>
      <c r="U43" s="55" t="s">
        <v>306</v>
      </c>
      <c r="V43" s="53">
        <f>500+T43</f>
        <v>500</v>
      </c>
      <c r="W43" s="53">
        <f>V43-P43</f>
        <v>500</v>
      </c>
      <c r="X43" s="53"/>
    </row>
    <row r="44" spans="1:24" x14ac:dyDescent="0.3">
      <c r="A44" s="6">
        <v>45685</v>
      </c>
      <c r="B44" s="56" t="s">
        <v>305</v>
      </c>
      <c r="C44" s="56"/>
      <c r="D44" s="56"/>
      <c r="E44" s="16"/>
      <c r="F44" s="16"/>
      <c r="G44" s="16"/>
      <c r="H44" s="16"/>
      <c r="I44" s="16"/>
      <c r="J44" s="16"/>
      <c r="K44" s="16"/>
      <c r="L44" s="16"/>
      <c r="M44" s="16"/>
      <c r="N44" s="24"/>
      <c r="O44" s="24"/>
      <c r="P44" s="24"/>
      <c r="Q44" s="13">
        <f>P44-O44</f>
        <v>0</v>
      </c>
      <c r="R44" s="24"/>
      <c r="S44" s="24"/>
      <c r="T44" s="53"/>
      <c r="U44" s="53"/>
      <c r="V44" s="53"/>
      <c r="W44" s="53"/>
      <c r="X44" s="53"/>
    </row>
    <row r="45" spans="1:24" x14ac:dyDescent="0.3">
      <c r="A45" s="6">
        <v>45685</v>
      </c>
      <c r="B45" s="24">
        <v>36</v>
      </c>
      <c r="C45" s="24">
        <v>1</v>
      </c>
      <c r="D45" s="68" t="s">
        <v>304</v>
      </c>
      <c r="E45" s="68"/>
      <c r="F45" s="68" t="s">
        <v>76</v>
      </c>
      <c r="G45" s="68"/>
      <c r="H45" s="69" t="s">
        <v>1</v>
      </c>
      <c r="I45" s="69" t="s">
        <v>303</v>
      </c>
      <c r="J45" s="87" t="s">
        <v>224</v>
      </c>
      <c r="K45" s="16"/>
      <c r="L45" s="71" t="s">
        <v>302</v>
      </c>
      <c r="M45" s="71" t="s">
        <v>302</v>
      </c>
      <c r="N45" s="24"/>
      <c r="O45" s="86" t="s">
        <v>124</v>
      </c>
      <c r="P45" s="85"/>
      <c r="Q45" s="13" t="e">
        <f>P45-O45</f>
        <v>#VALUE!</v>
      </c>
      <c r="R45" s="65"/>
      <c r="S45" s="65" t="s">
        <v>301</v>
      </c>
      <c r="T45" s="62">
        <v>1</v>
      </c>
      <c r="U45" s="62" t="s">
        <v>300</v>
      </c>
      <c r="V45" s="53">
        <f>400+T45</f>
        <v>401</v>
      </c>
      <c r="W45" s="53">
        <f>V45-P45</f>
        <v>401</v>
      </c>
      <c r="X45" s="53" t="s">
        <v>299</v>
      </c>
    </row>
    <row r="46" spans="1:24" x14ac:dyDescent="0.3">
      <c r="A46" s="6">
        <v>45685</v>
      </c>
      <c r="B46" s="24">
        <v>37</v>
      </c>
      <c r="C46" s="24">
        <v>2</v>
      </c>
      <c r="D46" s="16" t="s">
        <v>298</v>
      </c>
      <c r="E46" s="16"/>
      <c r="F46" s="16" t="s">
        <v>76</v>
      </c>
      <c r="G46" s="16"/>
      <c r="H46" s="15" t="s">
        <v>297</v>
      </c>
      <c r="I46" s="15" t="s">
        <v>297</v>
      </c>
      <c r="J46" s="16" t="s">
        <v>5</v>
      </c>
      <c r="K46" s="16"/>
      <c r="L46" s="84" t="s">
        <v>296</v>
      </c>
      <c r="M46" s="84" t="s">
        <v>296</v>
      </c>
      <c r="N46" s="24"/>
      <c r="O46" s="24">
        <v>976</v>
      </c>
      <c r="P46" s="24">
        <v>976</v>
      </c>
      <c r="Q46" s="13">
        <f>P46-O46</f>
        <v>0</v>
      </c>
      <c r="R46" s="24"/>
      <c r="S46" s="24" t="s">
        <v>208</v>
      </c>
      <c r="T46" s="53">
        <v>781</v>
      </c>
      <c r="U46" s="53" t="s">
        <v>295</v>
      </c>
      <c r="V46" s="53">
        <f>400+T46</f>
        <v>1181</v>
      </c>
      <c r="W46" s="53">
        <f>V46-P46</f>
        <v>205</v>
      </c>
      <c r="X46" s="53" t="s">
        <v>294</v>
      </c>
    </row>
    <row r="47" spans="1:24" x14ac:dyDescent="0.3">
      <c r="A47" s="6">
        <v>45685</v>
      </c>
      <c r="B47" s="24">
        <v>38</v>
      </c>
      <c r="C47" s="24">
        <v>3</v>
      </c>
      <c r="D47" s="16" t="s">
        <v>293</v>
      </c>
      <c r="E47" s="16"/>
      <c r="F47" s="16" t="s">
        <v>76</v>
      </c>
      <c r="G47" s="16"/>
      <c r="H47" s="15" t="s">
        <v>10</v>
      </c>
      <c r="I47" s="15" t="s">
        <v>292</v>
      </c>
      <c r="J47" s="16" t="s">
        <v>5</v>
      </c>
      <c r="K47" s="16"/>
      <c r="L47" s="16"/>
      <c r="M47" s="16"/>
      <c r="N47" s="24"/>
      <c r="O47" s="24" t="s">
        <v>124</v>
      </c>
      <c r="P47" s="24"/>
      <c r="Q47" s="13" t="e">
        <f>P47-O47</f>
        <v>#VALUE!</v>
      </c>
      <c r="R47" s="24"/>
      <c r="S47" s="24" t="s">
        <v>208</v>
      </c>
      <c r="T47" s="53">
        <v>592</v>
      </c>
      <c r="U47" s="53" t="s">
        <v>291</v>
      </c>
      <c r="V47" s="53">
        <f>400+T47</f>
        <v>992</v>
      </c>
      <c r="W47" s="53">
        <f>V47-P47</f>
        <v>992</v>
      </c>
      <c r="X47" s="53"/>
    </row>
    <row r="48" spans="1:24" x14ac:dyDescent="0.3">
      <c r="A48" s="6">
        <v>45685</v>
      </c>
      <c r="B48" s="24">
        <v>39</v>
      </c>
      <c r="C48" s="24">
        <v>4</v>
      </c>
      <c r="D48" s="16" t="s">
        <v>290</v>
      </c>
      <c r="E48" s="16"/>
      <c r="F48" s="16" t="s">
        <v>76</v>
      </c>
      <c r="G48" s="16"/>
      <c r="H48" s="15" t="s">
        <v>289</v>
      </c>
      <c r="I48" s="15" t="s">
        <v>289</v>
      </c>
      <c r="J48" s="16" t="s">
        <v>5</v>
      </c>
      <c r="K48" s="16"/>
      <c r="L48" s="16"/>
      <c r="M48" s="16"/>
      <c r="N48" s="24"/>
      <c r="O48" s="24">
        <v>5098</v>
      </c>
      <c r="P48" s="24">
        <v>5098</v>
      </c>
      <c r="Q48" s="13">
        <f>P48-O48</f>
        <v>0</v>
      </c>
      <c r="R48" s="24"/>
      <c r="S48" s="24" t="s">
        <v>282</v>
      </c>
      <c r="T48" s="53">
        <v>4885</v>
      </c>
      <c r="U48" s="53" t="s">
        <v>288</v>
      </c>
      <c r="V48" s="53">
        <f>400+T48</f>
        <v>5285</v>
      </c>
      <c r="W48" s="53">
        <f>V48-P48</f>
        <v>187</v>
      </c>
      <c r="X48" s="53"/>
    </row>
    <row r="49" spans="1:24" x14ac:dyDescent="0.3">
      <c r="A49" s="6">
        <v>45685</v>
      </c>
      <c r="B49" s="24">
        <v>40</v>
      </c>
      <c r="C49" s="24">
        <v>5</v>
      </c>
      <c r="D49" s="16" t="s">
        <v>287</v>
      </c>
      <c r="E49" s="16"/>
      <c r="F49" s="16" t="s">
        <v>76</v>
      </c>
      <c r="G49" s="16"/>
      <c r="H49" s="15" t="s">
        <v>286</v>
      </c>
      <c r="I49" s="15" t="s">
        <v>286</v>
      </c>
      <c r="J49" s="16" t="s">
        <v>5</v>
      </c>
      <c r="K49" s="16"/>
      <c r="L49" s="16"/>
      <c r="M49" s="16"/>
      <c r="N49" s="24"/>
      <c r="O49" s="13">
        <v>964</v>
      </c>
      <c r="P49" s="13">
        <v>964</v>
      </c>
      <c r="Q49" s="13">
        <f>P49-O49</f>
        <v>0</v>
      </c>
      <c r="R49" s="24"/>
      <c r="S49" s="24" t="s">
        <v>262</v>
      </c>
      <c r="T49" s="53">
        <v>761</v>
      </c>
      <c r="U49" s="53" t="s">
        <v>285</v>
      </c>
      <c r="V49" s="53">
        <f>400+T49</f>
        <v>1161</v>
      </c>
      <c r="W49" s="53">
        <f>V49-P49</f>
        <v>197</v>
      </c>
      <c r="X49" s="53"/>
    </row>
    <row r="50" spans="1:24" x14ac:dyDescent="0.3">
      <c r="A50" s="6">
        <v>45685</v>
      </c>
      <c r="B50" s="24">
        <v>41</v>
      </c>
      <c r="C50" s="24">
        <v>6</v>
      </c>
      <c r="D50" s="71" t="s">
        <v>284</v>
      </c>
      <c r="E50" s="16"/>
      <c r="F50" s="16" t="s">
        <v>76</v>
      </c>
      <c r="G50" s="16"/>
      <c r="H50" s="15" t="s">
        <v>173</v>
      </c>
      <c r="I50" s="15" t="s">
        <v>173</v>
      </c>
      <c r="J50" s="16" t="s">
        <v>5</v>
      </c>
      <c r="K50" s="16"/>
      <c r="L50" s="71" t="s">
        <v>283</v>
      </c>
      <c r="M50" s="71" t="s">
        <v>283</v>
      </c>
      <c r="N50" s="24"/>
      <c r="O50" s="82">
        <v>251</v>
      </c>
      <c r="P50" s="82">
        <v>255</v>
      </c>
      <c r="Q50" s="13">
        <f>P50-O50</f>
        <v>4</v>
      </c>
      <c r="R50" s="24"/>
      <c r="S50" s="24" t="s">
        <v>282</v>
      </c>
      <c r="T50" s="53">
        <v>1293</v>
      </c>
      <c r="U50" s="53" t="s">
        <v>281</v>
      </c>
      <c r="V50" s="53">
        <f>400+T50</f>
        <v>1693</v>
      </c>
      <c r="W50" s="53">
        <f>V50-P50</f>
        <v>1438</v>
      </c>
      <c r="X50" s="53" t="s">
        <v>280</v>
      </c>
    </row>
    <row r="51" spans="1:24" x14ac:dyDescent="0.3">
      <c r="A51" s="6">
        <v>45685</v>
      </c>
      <c r="B51" s="24">
        <v>42</v>
      </c>
      <c r="C51" s="24">
        <v>7</v>
      </c>
      <c r="D51" s="16" t="s">
        <v>279</v>
      </c>
      <c r="E51" s="16"/>
      <c r="F51" s="16" t="s">
        <v>76</v>
      </c>
      <c r="G51" s="16"/>
      <c r="H51" s="23" t="s">
        <v>196</v>
      </c>
      <c r="I51" s="23" t="s">
        <v>196</v>
      </c>
      <c r="J51" s="16" t="s">
        <v>5</v>
      </c>
      <c r="K51" s="23"/>
      <c r="L51" s="23" t="s">
        <v>278</v>
      </c>
      <c r="M51" s="23" t="s">
        <v>278</v>
      </c>
      <c r="N51" s="77"/>
      <c r="O51" s="13">
        <v>717</v>
      </c>
      <c r="P51" s="13">
        <v>721</v>
      </c>
      <c r="Q51" s="13">
        <f>P51-O51</f>
        <v>4</v>
      </c>
      <c r="R51" s="13"/>
      <c r="S51" s="77" t="s">
        <v>266</v>
      </c>
      <c r="T51" s="53">
        <v>10</v>
      </c>
      <c r="U51" s="53" t="s">
        <v>277</v>
      </c>
      <c r="V51" s="53">
        <f>400+T51</f>
        <v>410</v>
      </c>
      <c r="W51" s="60">
        <f>V51-P51</f>
        <v>-311</v>
      </c>
      <c r="X51" s="53"/>
    </row>
    <row r="52" spans="1:24" x14ac:dyDescent="0.3">
      <c r="A52" s="6">
        <v>45685</v>
      </c>
      <c r="B52" s="24">
        <v>43</v>
      </c>
      <c r="C52" s="24">
        <v>8</v>
      </c>
      <c r="D52" s="16" t="s">
        <v>276</v>
      </c>
      <c r="E52" s="16"/>
      <c r="F52" s="16" t="s">
        <v>76</v>
      </c>
      <c r="G52" s="16"/>
      <c r="H52" s="15" t="s">
        <v>275</v>
      </c>
      <c r="I52" s="15" t="s">
        <v>275</v>
      </c>
      <c r="J52" s="16" t="s">
        <v>5</v>
      </c>
      <c r="K52" s="15"/>
      <c r="L52" s="70" t="s">
        <v>274</v>
      </c>
      <c r="M52" s="70" t="s">
        <v>274</v>
      </c>
      <c r="N52" s="24"/>
      <c r="O52" s="24">
        <v>231</v>
      </c>
      <c r="P52" s="24">
        <v>232</v>
      </c>
      <c r="Q52" s="13">
        <f>P52-O52</f>
        <v>1</v>
      </c>
      <c r="R52" s="13"/>
      <c r="S52" s="24"/>
      <c r="T52" s="53">
        <v>0</v>
      </c>
      <c r="U52" s="53" t="s">
        <v>273</v>
      </c>
      <c r="V52" s="53">
        <f>200+T52</f>
        <v>200</v>
      </c>
      <c r="W52" s="60">
        <f>V52-P52</f>
        <v>-32</v>
      </c>
      <c r="X52" s="83"/>
    </row>
    <row r="53" spans="1:24" ht="14.25" customHeight="1" x14ac:dyDescent="0.3">
      <c r="A53" s="6">
        <v>45685</v>
      </c>
      <c r="B53" s="24">
        <v>44</v>
      </c>
      <c r="C53" s="24">
        <v>9</v>
      </c>
      <c r="D53" s="16" t="s">
        <v>272</v>
      </c>
      <c r="E53" s="16"/>
      <c r="F53" s="16" t="s">
        <v>76</v>
      </c>
      <c r="G53" s="16"/>
      <c r="H53" s="15" t="s">
        <v>200</v>
      </c>
      <c r="I53" s="15" t="s">
        <v>200</v>
      </c>
      <c r="J53" s="16" t="s">
        <v>224</v>
      </c>
      <c r="K53" s="68"/>
      <c r="L53" s="70" t="s">
        <v>271</v>
      </c>
      <c r="M53" s="70" t="s">
        <v>271</v>
      </c>
      <c r="N53" s="24"/>
      <c r="O53" s="24">
        <v>429</v>
      </c>
      <c r="P53" s="24">
        <v>429</v>
      </c>
      <c r="Q53" s="13">
        <f>P53-O53</f>
        <v>0</v>
      </c>
      <c r="R53" s="13"/>
      <c r="S53" s="24" t="s">
        <v>270</v>
      </c>
      <c r="T53" s="53">
        <v>293</v>
      </c>
      <c r="U53" s="53" t="s">
        <v>269</v>
      </c>
      <c r="V53" s="53">
        <f>400+T53</f>
        <v>693</v>
      </c>
      <c r="W53" s="53">
        <f>V53-P53</f>
        <v>264</v>
      </c>
      <c r="X53" s="53"/>
    </row>
    <row r="54" spans="1:24" x14ac:dyDescent="0.3">
      <c r="A54" s="6">
        <v>45685</v>
      </c>
      <c r="B54" s="24">
        <v>45</v>
      </c>
      <c r="C54" s="24">
        <v>10</v>
      </c>
      <c r="D54" s="16" t="s">
        <v>268</v>
      </c>
      <c r="E54" s="16"/>
      <c r="F54" s="16" t="s">
        <v>76</v>
      </c>
      <c r="G54" s="16"/>
      <c r="H54" s="23" t="s">
        <v>6</v>
      </c>
      <c r="I54" s="23" t="s">
        <v>6</v>
      </c>
      <c r="J54" s="16" t="s">
        <v>5</v>
      </c>
      <c r="K54" s="23"/>
      <c r="L54" s="23" t="s">
        <v>267</v>
      </c>
      <c r="M54" s="23" t="s">
        <v>267</v>
      </c>
      <c r="N54" s="77"/>
      <c r="O54" s="13">
        <v>660</v>
      </c>
      <c r="P54" s="13">
        <v>660</v>
      </c>
      <c r="Q54" s="13">
        <f>P54-O54</f>
        <v>0</v>
      </c>
      <c r="R54" s="13"/>
      <c r="S54" s="77" t="s">
        <v>266</v>
      </c>
      <c r="T54" s="53">
        <v>33.9</v>
      </c>
      <c r="U54" s="53" t="s">
        <v>265</v>
      </c>
      <c r="V54" s="53">
        <f>400+T54</f>
        <v>433.9</v>
      </c>
      <c r="W54" s="60">
        <f>V54-P54</f>
        <v>-226.10000000000002</v>
      </c>
      <c r="X54" s="53"/>
    </row>
    <row r="55" spans="1:24" x14ac:dyDescent="0.3">
      <c r="A55" s="6">
        <v>45685</v>
      </c>
      <c r="B55" s="24">
        <v>46</v>
      </c>
      <c r="C55" s="24">
        <v>11</v>
      </c>
      <c r="D55" s="71" t="s">
        <v>264</v>
      </c>
      <c r="E55" s="16"/>
      <c r="F55" s="16" t="s">
        <v>76</v>
      </c>
      <c r="G55" s="16"/>
      <c r="H55" s="15" t="s">
        <v>173</v>
      </c>
      <c r="I55" s="15" t="s">
        <v>173</v>
      </c>
      <c r="J55" s="16" t="s">
        <v>5</v>
      </c>
      <c r="K55" s="16"/>
      <c r="L55" s="71" t="s">
        <v>263</v>
      </c>
      <c r="M55" s="71" t="s">
        <v>263</v>
      </c>
      <c r="N55" s="24"/>
      <c r="O55" s="24">
        <v>375</v>
      </c>
      <c r="P55" s="24">
        <v>375</v>
      </c>
      <c r="Q55" s="13">
        <f>P55-O55</f>
        <v>0</v>
      </c>
      <c r="R55" s="13"/>
      <c r="S55" s="9" t="s">
        <v>262</v>
      </c>
      <c r="T55" s="53">
        <v>0</v>
      </c>
      <c r="U55" s="53" t="s">
        <v>261</v>
      </c>
      <c r="V55" s="53">
        <f>400+T55</f>
        <v>400</v>
      </c>
      <c r="W55" s="53">
        <f>V55-P55</f>
        <v>25</v>
      </c>
      <c r="X55" s="53"/>
    </row>
    <row r="56" spans="1:24" x14ac:dyDescent="0.3">
      <c r="A56" s="6">
        <v>45685</v>
      </c>
      <c r="B56" s="56" t="s">
        <v>260</v>
      </c>
      <c r="C56" s="56"/>
      <c r="D56" s="56"/>
      <c r="E56" s="16"/>
      <c r="F56" s="16"/>
      <c r="G56" s="16"/>
      <c r="H56" s="16"/>
      <c r="I56" s="16"/>
      <c r="J56" s="16"/>
      <c r="K56" s="16"/>
      <c r="L56" s="16"/>
      <c r="M56" s="16"/>
      <c r="N56" s="24"/>
      <c r="O56" s="24"/>
      <c r="P56" s="24"/>
      <c r="Q56" s="13"/>
      <c r="R56" s="13"/>
      <c r="S56" s="24"/>
      <c r="T56" s="53"/>
      <c r="U56" s="53"/>
      <c r="V56" s="53"/>
      <c r="W56" s="53">
        <f>V56-P56</f>
        <v>0</v>
      </c>
      <c r="X56" s="53"/>
    </row>
    <row r="57" spans="1:24" x14ac:dyDescent="0.3">
      <c r="A57" s="6">
        <v>45685</v>
      </c>
      <c r="B57" s="24">
        <v>47</v>
      </c>
      <c r="C57" s="24">
        <v>1</v>
      </c>
      <c r="D57" s="16" t="s">
        <v>259</v>
      </c>
      <c r="E57" s="16"/>
      <c r="F57" s="16" t="s">
        <v>76</v>
      </c>
      <c r="G57" s="16"/>
      <c r="H57" s="23" t="s">
        <v>258</v>
      </c>
      <c r="I57" s="23" t="s">
        <v>258</v>
      </c>
      <c r="J57" s="16" t="s">
        <v>5</v>
      </c>
      <c r="K57" s="23"/>
      <c r="L57" s="23" t="s">
        <v>257</v>
      </c>
      <c r="M57" s="23" t="s">
        <v>257</v>
      </c>
      <c r="N57" s="77"/>
      <c r="O57" s="13">
        <v>3607</v>
      </c>
      <c r="P57" s="13">
        <v>3608</v>
      </c>
      <c r="Q57" s="13">
        <f>P57-O57</f>
        <v>1</v>
      </c>
      <c r="R57" s="13"/>
      <c r="S57" s="77" t="s">
        <v>238</v>
      </c>
      <c r="T57" s="53">
        <v>3472</v>
      </c>
      <c r="U57" s="53" t="s">
        <v>256</v>
      </c>
      <c r="V57" s="53">
        <f>400+T57</f>
        <v>3872</v>
      </c>
      <c r="W57" s="53">
        <f>V57-P57</f>
        <v>264</v>
      </c>
      <c r="X57" s="53"/>
    </row>
    <row r="58" spans="1:24" x14ac:dyDescent="0.3">
      <c r="A58" s="6">
        <v>45685</v>
      </c>
      <c r="B58" s="24">
        <v>48</v>
      </c>
      <c r="C58" s="24">
        <v>2</v>
      </c>
      <c r="D58" s="16" t="s">
        <v>255</v>
      </c>
      <c r="E58" s="16"/>
      <c r="F58" s="16" t="s">
        <v>76</v>
      </c>
      <c r="G58" s="16"/>
      <c r="H58" s="15" t="s">
        <v>254</v>
      </c>
      <c r="I58" s="15" t="s">
        <v>254</v>
      </c>
      <c r="J58" s="16" t="s">
        <v>5</v>
      </c>
      <c r="K58" s="16"/>
      <c r="L58" s="71"/>
      <c r="M58" s="71"/>
      <c r="N58" s="24"/>
      <c r="O58" s="24">
        <v>2415</v>
      </c>
      <c r="P58" s="24">
        <v>2415</v>
      </c>
      <c r="Q58" s="13">
        <f>P58-O58</f>
        <v>0</v>
      </c>
      <c r="R58" s="13"/>
      <c r="S58" s="77" t="s">
        <v>208</v>
      </c>
      <c r="T58" s="53">
        <v>492</v>
      </c>
      <c r="U58" s="53" t="s">
        <v>253</v>
      </c>
      <c r="V58" s="53">
        <f>400+T58</f>
        <v>892</v>
      </c>
      <c r="W58" s="60">
        <f>V58-P58</f>
        <v>-1523</v>
      </c>
      <c r="X58" s="53" t="s">
        <v>124</v>
      </c>
    </row>
    <row r="59" spans="1:24" x14ac:dyDescent="0.3">
      <c r="A59" s="6">
        <v>45685</v>
      </c>
      <c r="B59" s="24">
        <v>49</v>
      </c>
      <c r="C59" s="24">
        <v>3</v>
      </c>
      <c r="D59" s="16" t="s">
        <v>252</v>
      </c>
      <c r="E59" s="16"/>
      <c r="F59" s="16" t="s">
        <v>76</v>
      </c>
      <c r="G59" s="16"/>
      <c r="H59" s="15" t="s">
        <v>251</v>
      </c>
      <c r="I59" s="15" t="s">
        <v>251</v>
      </c>
      <c r="J59" s="16" t="s">
        <v>5</v>
      </c>
      <c r="K59" s="16"/>
      <c r="L59" s="70" t="s">
        <v>250</v>
      </c>
      <c r="M59" s="70" t="s">
        <v>250</v>
      </c>
      <c r="N59" s="24"/>
      <c r="O59" s="24">
        <v>3124</v>
      </c>
      <c r="P59" s="24">
        <v>3127</v>
      </c>
      <c r="Q59" s="13">
        <f>P59-O59</f>
        <v>3</v>
      </c>
      <c r="R59" s="24">
        <v>20</v>
      </c>
      <c r="S59" s="77" t="s">
        <v>208</v>
      </c>
      <c r="T59" s="53">
        <v>3047</v>
      </c>
      <c r="U59" s="53" t="s">
        <v>249</v>
      </c>
      <c r="V59" s="53">
        <f>400+T59</f>
        <v>3447</v>
      </c>
      <c r="W59" s="53">
        <f>V59-P59</f>
        <v>320</v>
      </c>
      <c r="X59" s="53"/>
    </row>
    <row r="60" spans="1:24" x14ac:dyDescent="0.3">
      <c r="A60" s="6">
        <v>45685</v>
      </c>
      <c r="B60" s="24">
        <v>50</v>
      </c>
      <c r="C60" s="24">
        <v>4</v>
      </c>
      <c r="D60" s="16" t="s">
        <v>248</v>
      </c>
      <c r="E60" s="16"/>
      <c r="F60" s="16" t="s">
        <v>76</v>
      </c>
      <c r="G60" s="16"/>
      <c r="H60" s="15" t="s">
        <v>247</v>
      </c>
      <c r="I60" s="15" t="s">
        <v>247</v>
      </c>
      <c r="J60" s="16" t="s">
        <v>5</v>
      </c>
      <c r="K60" s="16"/>
      <c r="L60" s="16"/>
      <c r="M60" s="16"/>
      <c r="N60" s="24"/>
      <c r="O60" s="82" t="s">
        <v>124</v>
      </c>
      <c r="P60" s="82"/>
      <c r="Q60" s="13" t="e">
        <f>P60-O60</f>
        <v>#VALUE!</v>
      </c>
      <c r="R60" s="24"/>
      <c r="S60" s="77" t="s">
        <v>208</v>
      </c>
      <c r="T60" s="53">
        <v>2130</v>
      </c>
      <c r="U60" s="53" t="s">
        <v>246</v>
      </c>
      <c r="V60" s="53">
        <f>400+T60</f>
        <v>2530</v>
      </c>
      <c r="W60" s="53">
        <f>V60-P60</f>
        <v>2530</v>
      </c>
      <c r="X60" s="53" t="s">
        <v>124</v>
      </c>
    </row>
    <row r="61" spans="1:24" x14ac:dyDescent="0.3">
      <c r="A61" s="6">
        <v>45685</v>
      </c>
      <c r="B61" s="24">
        <v>51</v>
      </c>
      <c r="C61" s="24">
        <v>5</v>
      </c>
      <c r="D61" s="16" t="s">
        <v>245</v>
      </c>
      <c r="E61" s="16"/>
      <c r="F61" s="16" t="s">
        <v>76</v>
      </c>
      <c r="G61" s="16"/>
      <c r="H61" s="15" t="s">
        <v>244</v>
      </c>
      <c r="I61" s="15" t="s">
        <v>244</v>
      </c>
      <c r="J61" s="16" t="s">
        <v>5</v>
      </c>
      <c r="K61" s="16"/>
      <c r="L61" s="70" t="s">
        <v>243</v>
      </c>
      <c r="M61" s="70" t="s">
        <v>243</v>
      </c>
      <c r="N61" s="29"/>
      <c r="O61" s="82" t="s">
        <v>124</v>
      </c>
      <c r="P61" s="82"/>
      <c r="Q61" s="13" t="e">
        <f>P61-O61</f>
        <v>#VALUE!</v>
      </c>
      <c r="R61" s="24"/>
      <c r="S61" s="77" t="s">
        <v>208</v>
      </c>
      <c r="T61" s="53">
        <v>2843</v>
      </c>
      <c r="U61" s="53" t="s">
        <v>242</v>
      </c>
      <c r="V61" s="53">
        <f>400+T61</f>
        <v>3243</v>
      </c>
      <c r="W61" s="60">
        <f>V61-P61</f>
        <v>3243</v>
      </c>
      <c r="X61" s="53"/>
    </row>
    <row r="62" spans="1:24" x14ac:dyDescent="0.3">
      <c r="A62" s="6">
        <v>45685</v>
      </c>
      <c r="B62" s="24">
        <v>52</v>
      </c>
      <c r="C62" s="24">
        <v>6</v>
      </c>
      <c r="D62" s="16" t="s">
        <v>241</v>
      </c>
      <c r="E62" s="16"/>
      <c r="F62" s="16" t="s">
        <v>76</v>
      </c>
      <c r="G62" s="16"/>
      <c r="H62" s="15" t="s">
        <v>240</v>
      </c>
      <c r="I62" s="15" t="s">
        <v>240</v>
      </c>
      <c r="J62" s="16" t="s">
        <v>5</v>
      </c>
      <c r="K62" s="15"/>
      <c r="L62" s="71" t="s">
        <v>239</v>
      </c>
      <c r="M62" s="71" t="s">
        <v>239</v>
      </c>
      <c r="N62" s="24"/>
      <c r="O62" s="24">
        <v>3009</v>
      </c>
      <c r="P62" s="24">
        <v>3010</v>
      </c>
      <c r="Q62" s="13">
        <f>P62-O62</f>
        <v>1</v>
      </c>
      <c r="R62" s="24">
        <v>100</v>
      </c>
      <c r="S62" s="77" t="s">
        <v>238</v>
      </c>
      <c r="T62" s="53">
        <v>2492</v>
      </c>
      <c r="U62" s="53" t="s">
        <v>237</v>
      </c>
      <c r="V62" s="53">
        <f>400+T62</f>
        <v>2892</v>
      </c>
      <c r="W62" s="60">
        <f>V62-P62</f>
        <v>-118</v>
      </c>
      <c r="X62" s="53"/>
    </row>
    <row r="63" spans="1:24" x14ac:dyDescent="0.3">
      <c r="A63" s="6">
        <v>45685</v>
      </c>
      <c r="B63" s="24">
        <v>53</v>
      </c>
      <c r="C63" s="24">
        <v>7</v>
      </c>
      <c r="D63" s="16" t="s">
        <v>236</v>
      </c>
      <c r="E63" s="16"/>
      <c r="F63" s="16" t="s">
        <v>76</v>
      </c>
      <c r="G63" s="16"/>
      <c r="H63" s="15" t="s">
        <v>235</v>
      </c>
      <c r="I63" s="15" t="s">
        <v>235</v>
      </c>
      <c r="J63" s="16" t="s">
        <v>5</v>
      </c>
      <c r="K63" s="16"/>
      <c r="L63" s="16" t="s">
        <v>234</v>
      </c>
      <c r="M63" s="16" t="s">
        <v>234</v>
      </c>
      <c r="N63" s="24"/>
      <c r="O63" s="13">
        <v>2938</v>
      </c>
      <c r="P63" s="13">
        <v>2938</v>
      </c>
      <c r="Q63" s="13">
        <f>P63-O63</f>
        <v>0</v>
      </c>
      <c r="R63" s="24"/>
      <c r="S63" s="77" t="s">
        <v>233</v>
      </c>
      <c r="T63" s="53">
        <v>2438</v>
      </c>
      <c r="U63" s="53" t="s">
        <v>232</v>
      </c>
      <c r="V63" s="53">
        <f>400+T63</f>
        <v>2838</v>
      </c>
      <c r="W63" s="53">
        <f>V63-P63</f>
        <v>-100</v>
      </c>
      <c r="X63" s="53"/>
    </row>
    <row r="64" spans="1:24" x14ac:dyDescent="0.3">
      <c r="A64" s="6">
        <v>45685</v>
      </c>
      <c r="B64" s="24">
        <v>54</v>
      </c>
      <c r="C64" s="24">
        <v>8</v>
      </c>
      <c r="D64" s="16" t="s">
        <v>231</v>
      </c>
      <c r="E64" s="16"/>
      <c r="F64" s="16" t="s">
        <v>76</v>
      </c>
      <c r="G64" s="16"/>
      <c r="H64" s="23" t="s">
        <v>230</v>
      </c>
      <c r="I64" s="23" t="s">
        <v>230</v>
      </c>
      <c r="J64" s="16" t="s">
        <v>5</v>
      </c>
      <c r="K64" s="23"/>
      <c r="L64" s="16" t="s">
        <v>229</v>
      </c>
      <c r="M64" s="16" t="s">
        <v>229</v>
      </c>
      <c r="N64" s="77"/>
      <c r="O64" s="13">
        <v>2190</v>
      </c>
      <c r="P64" s="13">
        <v>2190</v>
      </c>
      <c r="Q64" s="13">
        <f>P64-O64</f>
        <v>0</v>
      </c>
      <c r="R64" s="24"/>
      <c r="S64" s="77" t="s">
        <v>208</v>
      </c>
      <c r="T64" s="53">
        <v>1736</v>
      </c>
      <c r="U64" s="53" t="s">
        <v>228</v>
      </c>
      <c r="V64" s="53">
        <f>400+T64</f>
        <v>2136</v>
      </c>
      <c r="W64" s="60">
        <f>V64-P64</f>
        <v>-54</v>
      </c>
      <c r="X64" s="53"/>
    </row>
    <row r="65" spans="1:24" x14ac:dyDescent="0.3">
      <c r="A65" s="6">
        <v>45685</v>
      </c>
      <c r="B65" s="24">
        <v>55</v>
      </c>
      <c r="C65" s="24">
        <v>9</v>
      </c>
      <c r="D65" s="16" t="s">
        <v>227</v>
      </c>
      <c r="E65" s="16"/>
      <c r="F65" s="16" t="s">
        <v>76</v>
      </c>
      <c r="G65" s="16"/>
      <c r="H65" s="15" t="s">
        <v>226</v>
      </c>
      <c r="I65" s="15" t="s">
        <v>225</v>
      </c>
      <c r="J65" s="70" t="s">
        <v>224</v>
      </c>
      <c r="K65" s="16"/>
      <c r="L65" s="70" t="s">
        <v>223</v>
      </c>
      <c r="M65" s="70" t="s">
        <v>223</v>
      </c>
      <c r="N65" s="29"/>
      <c r="O65" s="24">
        <v>2270</v>
      </c>
      <c r="P65" s="24">
        <v>2273</v>
      </c>
      <c r="Q65" s="13">
        <f>P65-O65</f>
        <v>3</v>
      </c>
      <c r="R65" s="24"/>
      <c r="S65" s="77" t="s">
        <v>208</v>
      </c>
      <c r="T65" s="53">
        <v>1560</v>
      </c>
      <c r="U65" s="53" t="s">
        <v>222</v>
      </c>
      <c r="V65" s="53">
        <f>400+T65</f>
        <v>1960</v>
      </c>
      <c r="W65" s="60">
        <f>V65-P65</f>
        <v>-313</v>
      </c>
      <c r="X65" s="53"/>
    </row>
    <row r="66" spans="1:24" x14ac:dyDescent="0.3">
      <c r="A66" s="6">
        <v>45685</v>
      </c>
      <c r="B66" s="56" t="s">
        <v>221</v>
      </c>
      <c r="C66" s="56"/>
      <c r="D66" s="56"/>
      <c r="E66" s="16"/>
      <c r="F66" s="16"/>
      <c r="G66" s="16"/>
      <c r="H66" s="15"/>
      <c r="I66" s="15"/>
      <c r="J66" s="16"/>
      <c r="K66" s="16"/>
      <c r="L66" s="16"/>
      <c r="M66" s="16"/>
      <c r="N66" s="24"/>
      <c r="O66" s="24"/>
      <c r="P66" s="24"/>
      <c r="Q66" s="13"/>
      <c r="R66" s="24"/>
      <c r="S66" s="24"/>
      <c r="T66" s="53"/>
      <c r="U66" s="53"/>
      <c r="V66" s="53"/>
      <c r="W66" s="53"/>
      <c r="X66" s="53"/>
    </row>
    <row r="67" spans="1:24" x14ac:dyDescent="0.3">
      <c r="A67" s="6">
        <v>45685</v>
      </c>
      <c r="B67" s="24">
        <v>56</v>
      </c>
      <c r="C67" s="24">
        <v>1</v>
      </c>
      <c r="D67" s="16" t="s">
        <v>220</v>
      </c>
      <c r="E67" s="16"/>
      <c r="F67" s="16" t="s">
        <v>76</v>
      </c>
      <c r="G67" s="16"/>
      <c r="H67" s="15" t="s">
        <v>219</v>
      </c>
      <c r="I67" s="15" t="s">
        <v>219</v>
      </c>
      <c r="J67" s="16" t="s">
        <v>5</v>
      </c>
      <c r="K67" s="16"/>
      <c r="L67" s="16" t="s">
        <v>218</v>
      </c>
      <c r="M67" s="16" t="s">
        <v>218</v>
      </c>
      <c r="N67" s="24"/>
      <c r="O67" s="24">
        <v>707</v>
      </c>
      <c r="P67" s="24">
        <v>707</v>
      </c>
      <c r="Q67" s="13">
        <f>P67-O67</f>
        <v>0</v>
      </c>
      <c r="R67" s="24"/>
      <c r="S67" s="24" t="s">
        <v>217</v>
      </c>
      <c r="T67" s="53">
        <v>257</v>
      </c>
      <c r="U67" s="53" t="s">
        <v>216</v>
      </c>
      <c r="V67" s="53">
        <f>350+T67</f>
        <v>607</v>
      </c>
      <c r="W67" s="60">
        <f>V67-P67</f>
        <v>-100</v>
      </c>
      <c r="X67" s="53"/>
    </row>
    <row r="68" spans="1:24" x14ac:dyDescent="0.3">
      <c r="A68" s="6">
        <v>45685</v>
      </c>
      <c r="B68" s="24">
        <v>57</v>
      </c>
      <c r="C68" s="24">
        <v>2</v>
      </c>
      <c r="D68" s="16" t="s">
        <v>215</v>
      </c>
      <c r="E68" s="16"/>
      <c r="F68" s="16" t="s">
        <v>76</v>
      </c>
      <c r="G68" s="16"/>
      <c r="H68" s="15" t="s">
        <v>214</v>
      </c>
      <c r="I68" s="15" t="s">
        <v>214</v>
      </c>
      <c r="J68" s="16" t="s">
        <v>5</v>
      </c>
      <c r="K68" s="16"/>
      <c r="L68" s="16" t="s">
        <v>213</v>
      </c>
      <c r="M68" s="16" t="s">
        <v>213</v>
      </c>
      <c r="N68" s="24"/>
      <c r="O68" s="24" t="s">
        <v>124</v>
      </c>
      <c r="P68" s="24"/>
      <c r="Q68" s="13" t="e">
        <f>P68-O68</f>
        <v>#VALUE!</v>
      </c>
      <c r="R68" s="24"/>
      <c r="S68" s="24" t="s">
        <v>208</v>
      </c>
      <c r="T68" s="53">
        <v>122</v>
      </c>
      <c r="U68" s="53" t="s">
        <v>212</v>
      </c>
      <c r="V68" s="53">
        <f>350+T68</f>
        <v>472</v>
      </c>
      <c r="W68" s="53">
        <f>V68-P68</f>
        <v>472</v>
      </c>
      <c r="X68" s="53"/>
    </row>
    <row r="69" spans="1:24" ht="24" x14ac:dyDescent="0.3">
      <c r="A69" s="6">
        <v>45685</v>
      </c>
      <c r="B69" s="24">
        <v>58</v>
      </c>
      <c r="C69" s="24">
        <v>3</v>
      </c>
      <c r="D69" s="16" t="s">
        <v>211</v>
      </c>
      <c r="E69" s="16"/>
      <c r="F69" s="16" t="s">
        <v>76</v>
      </c>
      <c r="G69" s="16"/>
      <c r="H69" s="23" t="s">
        <v>210</v>
      </c>
      <c r="I69" s="23" t="s">
        <v>210</v>
      </c>
      <c r="J69" s="16" t="s">
        <v>5</v>
      </c>
      <c r="K69" s="23"/>
      <c r="L69" s="81" t="s">
        <v>209</v>
      </c>
      <c r="M69" s="81" t="s">
        <v>209</v>
      </c>
      <c r="N69" s="77"/>
      <c r="O69" s="80" t="s">
        <v>124</v>
      </c>
      <c r="P69" s="80"/>
      <c r="Q69" s="13" t="e">
        <f>P69-O69</f>
        <v>#VALUE!</v>
      </c>
      <c r="R69" s="13"/>
      <c r="S69" s="77" t="s">
        <v>208</v>
      </c>
      <c r="T69" s="53">
        <v>782</v>
      </c>
      <c r="U69" s="53" t="s">
        <v>207</v>
      </c>
      <c r="V69" s="53">
        <f>350+T69</f>
        <v>1132</v>
      </c>
      <c r="W69" s="58">
        <f>V69-P69</f>
        <v>1132</v>
      </c>
      <c r="X69" s="53" t="s">
        <v>124</v>
      </c>
    </row>
    <row r="70" spans="1:24" ht="28.8" x14ac:dyDescent="0.3">
      <c r="A70" s="6">
        <v>45685</v>
      </c>
      <c r="B70" s="24">
        <v>59</v>
      </c>
      <c r="C70" s="24">
        <v>4</v>
      </c>
      <c r="D70" s="16" t="s">
        <v>206</v>
      </c>
      <c r="E70" s="16"/>
      <c r="F70" s="16" t="s">
        <v>76</v>
      </c>
      <c r="G70" s="16"/>
      <c r="H70" s="15" t="s">
        <v>205</v>
      </c>
      <c r="I70" s="15" t="s">
        <v>205</v>
      </c>
      <c r="J70" s="16" t="s">
        <v>5</v>
      </c>
      <c r="K70" s="16"/>
      <c r="L70" s="16" t="s">
        <v>204</v>
      </c>
      <c r="M70" s="16" t="s">
        <v>204</v>
      </c>
      <c r="N70" s="24"/>
      <c r="O70" s="79" t="s">
        <v>124</v>
      </c>
      <c r="P70" s="78"/>
      <c r="Q70" s="13" t="e">
        <f>P70-O70</f>
        <v>#VALUE!</v>
      </c>
      <c r="R70" s="13"/>
      <c r="S70" s="24" t="s">
        <v>175</v>
      </c>
      <c r="T70" s="53">
        <v>0</v>
      </c>
      <c r="U70" s="55" t="s">
        <v>203</v>
      </c>
      <c r="V70" s="53">
        <f>350+T70</f>
        <v>350</v>
      </c>
      <c r="W70" s="53">
        <f>V70-P70</f>
        <v>350</v>
      </c>
      <c r="X70" s="53"/>
    </row>
    <row r="71" spans="1:24" x14ac:dyDescent="0.3">
      <c r="A71" s="6">
        <v>45685</v>
      </c>
      <c r="B71" s="56" t="s">
        <v>202</v>
      </c>
      <c r="C71" s="56"/>
      <c r="D71" s="56"/>
      <c r="E71" s="16"/>
      <c r="F71" s="16"/>
      <c r="G71" s="16"/>
      <c r="H71" s="15"/>
      <c r="I71" s="15"/>
      <c r="J71" s="16"/>
      <c r="K71" s="16"/>
      <c r="L71" s="16"/>
      <c r="M71" s="16"/>
      <c r="N71" s="24"/>
      <c r="O71" s="24"/>
      <c r="P71" s="24"/>
      <c r="Q71" s="13"/>
      <c r="R71" s="13"/>
      <c r="S71" s="24"/>
      <c r="T71" s="53"/>
      <c r="U71" s="53"/>
      <c r="V71" s="53"/>
      <c r="W71" s="53"/>
      <c r="X71" s="53"/>
    </row>
    <row r="72" spans="1:24" x14ac:dyDescent="0.3">
      <c r="A72" s="6">
        <v>45685</v>
      </c>
      <c r="B72" s="24">
        <v>60</v>
      </c>
      <c r="C72" s="24">
        <v>1</v>
      </c>
      <c r="D72" s="16" t="s">
        <v>201</v>
      </c>
      <c r="E72" s="16"/>
      <c r="F72" s="16" t="s">
        <v>76</v>
      </c>
      <c r="G72" s="16"/>
      <c r="H72" s="15" t="s">
        <v>200</v>
      </c>
      <c r="I72" s="15" t="s">
        <v>200</v>
      </c>
      <c r="J72" s="16" t="s">
        <v>5</v>
      </c>
      <c r="K72" s="16"/>
      <c r="L72" s="16" t="s">
        <v>199</v>
      </c>
      <c r="M72" s="16" t="s">
        <v>199</v>
      </c>
      <c r="N72" s="24"/>
      <c r="O72" s="24">
        <v>1324</v>
      </c>
      <c r="P72" s="24">
        <v>1324</v>
      </c>
      <c r="Q72" s="13">
        <f>P72-O72</f>
        <v>0</v>
      </c>
      <c r="R72" s="13"/>
      <c r="S72" s="77" t="s">
        <v>194</v>
      </c>
      <c r="T72" s="53">
        <v>1092</v>
      </c>
      <c r="U72" s="53" t="s">
        <v>198</v>
      </c>
      <c r="V72" s="53">
        <f>400+T72</f>
        <v>1492</v>
      </c>
      <c r="W72" s="29">
        <f>V72-P72</f>
        <v>168</v>
      </c>
      <c r="X72" s="53"/>
    </row>
    <row r="73" spans="1:24" x14ac:dyDescent="0.3">
      <c r="A73" s="6">
        <v>45685</v>
      </c>
      <c r="B73" s="24">
        <v>61</v>
      </c>
      <c r="C73" s="24">
        <v>2</v>
      </c>
      <c r="D73" s="16" t="s">
        <v>197</v>
      </c>
      <c r="E73" s="16"/>
      <c r="F73" s="16" t="s">
        <v>76</v>
      </c>
      <c r="G73" s="16"/>
      <c r="H73" s="23" t="s">
        <v>196</v>
      </c>
      <c r="I73" s="23" t="s">
        <v>196</v>
      </c>
      <c r="J73" s="16" t="s">
        <v>5</v>
      </c>
      <c r="K73" s="23"/>
      <c r="L73" s="23" t="s">
        <v>195</v>
      </c>
      <c r="M73" s="23" t="s">
        <v>195</v>
      </c>
      <c r="N73" s="77"/>
      <c r="O73" s="13">
        <v>1330</v>
      </c>
      <c r="P73" s="13">
        <v>1334</v>
      </c>
      <c r="Q73" s="13">
        <f>P73-O73</f>
        <v>4</v>
      </c>
      <c r="R73" s="13">
        <v>30</v>
      </c>
      <c r="S73" s="77" t="s">
        <v>194</v>
      </c>
      <c r="T73" s="53">
        <v>1040</v>
      </c>
      <c r="U73" s="53" t="s">
        <v>193</v>
      </c>
      <c r="V73" s="53">
        <f>400+T73</f>
        <v>1440</v>
      </c>
      <c r="W73" s="29">
        <f>V73-P73</f>
        <v>106</v>
      </c>
      <c r="X73" s="53"/>
    </row>
    <row r="74" spans="1:24" x14ac:dyDescent="0.3">
      <c r="A74" s="6">
        <v>45685</v>
      </c>
      <c r="B74" s="56" t="s">
        <v>192</v>
      </c>
      <c r="C74" s="56"/>
      <c r="D74" s="56"/>
      <c r="E74" s="16"/>
      <c r="F74" s="16"/>
      <c r="G74" s="16"/>
      <c r="H74" s="15"/>
      <c r="I74" s="15"/>
      <c r="J74" s="16"/>
      <c r="K74" s="16"/>
      <c r="L74" s="16"/>
      <c r="M74" s="16"/>
      <c r="N74" s="24"/>
      <c r="O74" s="24"/>
      <c r="P74" s="24"/>
      <c r="Q74" s="13"/>
      <c r="R74" s="24"/>
      <c r="S74" s="24"/>
      <c r="T74" s="53"/>
      <c r="U74" s="53"/>
      <c r="V74" s="53"/>
      <c r="W74" s="53"/>
      <c r="X74" s="53"/>
    </row>
    <row r="75" spans="1:24" x14ac:dyDescent="0.3">
      <c r="A75" s="6">
        <v>45685</v>
      </c>
      <c r="B75" s="29">
        <v>62</v>
      </c>
      <c r="C75" s="29">
        <v>1</v>
      </c>
      <c r="D75" s="76" t="s">
        <v>191</v>
      </c>
      <c r="E75" s="16"/>
      <c r="F75" s="70" t="s">
        <v>76</v>
      </c>
      <c r="G75" s="70"/>
      <c r="H75" s="15" t="s">
        <v>173</v>
      </c>
      <c r="I75" s="15" t="s">
        <v>173</v>
      </c>
      <c r="J75" s="16" t="s">
        <v>5</v>
      </c>
      <c r="K75" s="16"/>
      <c r="L75" s="70" t="s">
        <v>187</v>
      </c>
      <c r="M75" s="70" t="s">
        <v>187</v>
      </c>
      <c r="N75" s="29"/>
      <c r="O75" s="29" t="s">
        <v>124</v>
      </c>
      <c r="P75" s="29"/>
      <c r="Q75" s="13" t="e">
        <f>P75-O75</f>
        <v>#VALUE!</v>
      </c>
      <c r="R75" s="29"/>
      <c r="S75" s="29" t="s">
        <v>190</v>
      </c>
      <c r="T75" s="58">
        <v>3040</v>
      </c>
      <c r="U75" s="58" t="s">
        <v>189</v>
      </c>
      <c r="V75" s="53">
        <f>400+T75</f>
        <v>3440</v>
      </c>
      <c r="W75" s="58">
        <f>V75-P75</f>
        <v>3440</v>
      </c>
      <c r="X75" s="58" t="s">
        <v>124</v>
      </c>
    </row>
    <row r="76" spans="1:24" x14ac:dyDescent="0.3">
      <c r="A76" s="6">
        <v>45685</v>
      </c>
      <c r="B76" s="24">
        <v>63</v>
      </c>
      <c r="C76" s="24">
        <v>2</v>
      </c>
      <c r="D76" s="16" t="s">
        <v>188</v>
      </c>
      <c r="E76" s="16"/>
      <c r="F76" s="16" t="s">
        <v>76</v>
      </c>
      <c r="G76" s="16"/>
      <c r="H76" s="15" t="s">
        <v>95</v>
      </c>
      <c r="I76" s="15" t="s">
        <v>95</v>
      </c>
      <c r="J76" s="16" t="s">
        <v>5</v>
      </c>
      <c r="K76" s="16"/>
      <c r="L76" s="70" t="s">
        <v>187</v>
      </c>
      <c r="M76" s="70" t="s">
        <v>187</v>
      </c>
      <c r="N76" s="29"/>
      <c r="O76" s="24" t="s">
        <v>124</v>
      </c>
      <c r="P76" s="24"/>
      <c r="Q76" s="13" t="e">
        <f>P76-O76</f>
        <v>#VALUE!</v>
      </c>
      <c r="R76" s="24"/>
      <c r="S76" s="9" t="s">
        <v>186</v>
      </c>
      <c r="T76" s="53">
        <v>379</v>
      </c>
      <c r="U76" s="53" t="s">
        <v>185</v>
      </c>
      <c r="V76" s="53">
        <f>400+T76</f>
        <v>779</v>
      </c>
      <c r="W76" s="53">
        <f>V76-P76</f>
        <v>779</v>
      </c>
      <c r="X76" s="53" t="s">
        <v>124</v>
      </c>
    </row>
    <row r="77" spans="1:24" ht="28.8" x14ac:dyDescent="0.3">
      <c r="A77" s="6">
        <v>45685</v>
      </c>
      <c r="B77" s="73">
        <v>64</v>
      </c>
      <c r="C77" s="73">
        <v>3</v>
      </c>
      <c r="D77" s="74" t="s">
        <v>184</v>
      </c>
      <c r="E77" s="74"/>
      <c r="F77" s="74" t="s">
        <v>76</v>
      </c>
      <c r="G77" s="74"/>
      <c r="H77" s="75" t="s">
        <v>183</v>
      </c>
      <c r="I77" s="75" t="s">
        <v>183</v>
      </c>
      <c r="J77" s="74" t="s">
        <v>182</v>
      </c>
      <c r="K77" s="74"/>
      <c r="L77" s="74"/>
      <c r="M77" s="74"/>
      <c r="N77" s="73"/>
      <c r="O77" s="73"/>
      <c r="P77" s="73"/>
      <c r="Q77" s="73"/>
      <c r="R77" s="73"/>
      <c r="S77" s="73"/>
      <c r="T77" s="72"/>
      <c r="U77" s="72"/>
      <c r="V77" s="72"/>
      <c r="W77" s="72"/>
      <c r="X77" s="72" t="s">
        <v>181</v>
      </c>
    </row>
    <row r="78" spans="1:24" x14ac:dyDescent="0.3">
      <c r="A78" s="6">
        <v>45685</v>
      </c>
      <c r="B78" s="24">
        <v>65</v>
      </c>
      <c r="C78" s="24">
        <v>4</v>
      </c>
      <c r="D78" s="16" t="s">
        <v>180</v>
      </c>
      <c r="E78" s="16"/>
      <c r="F78" s="16" t="s">
        <v>76</v>
      </c>
      <c r="G78" s="16"/>
      <c r="H78" s="15" t="s">
        <v>179</v>
      </c>
      <c r="I78" s="15" t="s">
        <v>179</v>
      </c>
      <c r="J78" s="16" t="s">
        <v>5</v>
      </c>
      <c r="K78" s="16"/>
      <c r="L78" s="16" t="s">
        <v>178</v>
      </c>
      <c r="M78" s="16" t="s">
        <v>178</v>
      </c>
      <c r="N78" s="29"/>
      <c r="O78" s="24">
        <v>2298</v>
      </c>
      <c r="P78" s="24">
        <v>2298</v>
      </c>
      <c r="Q78" s="13">
        <f>P78-O78</f>
        <v>0</v>
      </c>
      <c r="R78" s="24"/>
      <c r="S78" s="24" t="s">
        <v>177</v>
      </c>
      <c r="T78" s="53">
        <v>1910</v>
      </c>
      <c r="U78" s="53" t="s">
        <v>176</v>
      </c>
      <c r="V78" s="53">
        <f>400+T78</f>
        <v>2310</v>
      </c>
      <c r="W78" s="53">
        <f>V78-P78</f>
        <v>12</v>
      </c>
      <c r="X78" s="53" t="s">
        <v>175</v>
      </c>
    </row>
    <row r="79" spans="1:24" x14ac:dyDescent="0.3">
      <c r="A79" s="6">
        <v>45685</v>
      </c>
      <c r="B79" s="24">
        <v>66</v>
      </c>
      <c r="C79" s="24">
        <v>5</v>
      </c>
      <c r="D79" s="71" t="s">
        <v>174</v>
      </c>
      <c r="E79" s="16"/>
      <c r="F79" s="16" t="s">
        <v>76</v>
      </c>
      <c r="G79" s="16"/>
      <c r="H79" s="15" t="s">
        <v>173</v>
      </c>
      <c r="I79" s="15" t="s">
        <v>173</v>
      </c>
      <c r="J79" s="16" t="s">
        <v>5</v>
      </c>
      <c r="K79" s="16"/>
      <c r="L79" s="70" t="s">
        <v>172</v>
      </c>
      <c r="M79" s="70" t="s">
        <v>172</v>
      </c>
      <c r="N79" s="29"/>
      <c r="O79" s="24">
        <v>2126</v>
      </c>
      <c r="P79" s="24">
        <v>2126</v>
      </c>
      <c r="Q79" s="13">
        <f>P79-O79</f>
        <v>0</v>
      </c>
      <c r="R79" s="24"/>
      <c r="S79" s="24" t="s">
        <v>171</v>
      </c>
      <c r="T79" s="53">
        <v>1925</v>
      </c>
      <c r="U79" s="53" t="s">
        <v>170</v>
      </c>
      <c r="V79" s="53">
        <f>400+T79</f>
        <v>2325</v>
      </c>
      <c r="W79" s="53">
        <f>V79-P79</f>
        <v>199</v>
      </c>
      <c r="X79" s="53"/>
    </row>
    <row r="80" spans="1:24" x14ac:dyDescent="0.3">
      <c r="A80" s="6">
        <v>45685</v>
      </c>
      <c r="B80" s="56" t="s">
        <v>164</v>
      </c>
      <c r="C80" s="56"/>
      <c r="D80" s="56"/>
      <c r="E80" s="16"/>
      <c r="F80" s="16"/>
      <c r="G80" s="16"/>
      <c r="H80" s="15"/>
      <c r="I80" s="15"/>
      <c r="J80" s="16"/>
      <c r="K80" s="16"/>
      <c r="L80" s="16"/>
      <c r="M80" s="16"/>
      <c r="N80" s="24"/>
      <c r="O80" s="24"/>
      <c r="P80" s="24"/>
      <c r="Q80" s="13">
        <f>P80-O80</f>
        <v>0</v>
      </c>
      <c r="R80" s="24"/>
      <c r="S80" s="24"/>
      <c r="T80" s="53"/>
      <c r="U80" s="53"/>
      <c r="V80" s="53"/>
      <c r="W80" s="53"/>
      <c r="X80" s="53"/>
    </row>
    <row r="81" spans="1:24" x14ac:dyDescent="0.3">
      <c r="A81" s="6">
        <v>45685</v>
      </c>
      <c r="B81" s="24">
        <v>67</v>
      </c>
      <c r="C81" s="24">
        <v>1</v>
      </c>
      <c r="D81" s="16" t="s">
        <v>169</v>
      </c>
      <c r="E81" s="16"/>
      <c r="F81" s="16" t="s">
        <v>76</v>
      </c>
      <c r="G81" s="16"/>
      <c r="H81" s="15" t="s">
        <v>168</v>
      </c>
      <c r="I81" s="15" t="s">
        <v>168</v>
      </c>
      <c r="J81" s="16" t="s">
        <v>5</v>
      </c>
      <c r="K81" s="16"/>
      <c r="L81" s="16" t="s">
        <v>167</v>
      </c>
      <c r="M81" s="16" t="s">
        <v>167</v>
      </c>
      <c r="N81" s="24"/>
      <c r="O81" s="24">
        <v>7197</v>
      </c>
      <c r="P81" s="24">
        <v>7213</v>
      </c>
      <c r="Q81" s="13">
        <f>P81-O81</f>
        <v>16</v>
      </c>
      <c r="R81" s="24"/>
      <c r="S81" s="24" t="s">
        <v>166</v>
      </c>
      <c r="T81" s="53">
        <v>6590</v>
      </c>
      <c r="U81" s="55" t="s">
        <v>165</v>
      </c>
      <c r="V81" s="53">
        <f>400+T81</f>
        <v>6990</v>
      </c>
      <c r="W81" s="60">
        <f>V81-P81</f>
        <v>-223</v>
      </c>
      <c r="X81" s="53"/>
    </row>
    <row r="82" spans="1:24" x14ac:dyDescent="0.3">
      <c r="A82" s="6">
        <v>45685</v>
      </c>
      <c r="B82" s="24">
        <v>68</v>
      </c>
      <c r="C82" s="24">
        <v>2</v>
      </c>
      <c r="D82" s="16" t="s">
        <v>164</v>
      </c>
      <c r="E82" s="16"/>
      <c r="F82" s="16" t="s">
        <v>76</v>
      </c>
      <c r="G82" s="16"/>
      <c r="H82" s="15" t="s">
        <v>163</v>
      </c>
      <c r="I82" s="15" t="s">
        <v>163</v>
      </c>
      <c r="J82" s="16" t="s">
        <v>5</v>
      </c>
      <c r="K82" s="16"/>
      <c r="L82" s="16" t="s">
        <v>162</v>
      </c>
      <c r="M82" s="16" t="s">
        <v>162</v>
      </c>
      <c r="N82" s="24"/>
      <c r="O82" s="24">
        <v>2832</v>
      </c>
      <c r="P82" s="24">
        <v>2832</v>
      </c>
      <c r="Q82" s="13">
        <f>P82-O82</f>
        <v>0</v>
      </c>
      <c r="R82" s="24">
        <v>40</v>
      </c>
      <c r="S82" s="24" t="s">
        <v>161</v>
      </c>
      <c r="T82" s="53">
        <v>2263</v>
      </c>
      <c r="U82" s="53" t="s">
        <v>160</v>
      </c>
      <c r="V82" s="53">
        <f>500+T82</f>
        <v>2763</v>
      </c>
      <c r="W82" s="58">
        <f>V82-P82</f>
        <v>-69</v>
      </c>
      <c r="X82" s="53"/>
    </row>
    <row r="83" spans="1:24" x14ac:dyDescent="0.3">
      <c r="A83" s="6">
        <v>45685</v>
      </c>
      <c r="B83" s="56" t="s">
        <v>159</v>
      </c>
      <c r="C83" s="56"/>
      <c r="D83" s="56"/>
      <c r="E83" s="16"/>
      <c r="F83" s="16"/>
      <c r="G83" s="16"/>
      <c r="H83" s="15"/>
      <c r="I83" s="15"/>
      <c r="J83" s="16"/>
      <c r="K83" s="16"/>
      <c r="L83" s="16"/>
      <c r="M83" s="16"/>
      <c r="N83" s="24"/>
      <c r="O83" s="24"/>
      <c r="P83" s="24"/>
      <c r="Q83" s="13">
        <f>P83-O83</f>
        <v>0</v>
      </c>
      <c r="R83" s="24"/>
      <c r="S83" s="24"/>
      <c r="T83" s="53"/>
      <c r="U83" s="55"/>
      <c r="V83" s="53"/>
      <c r="W83" s="53"/>
      <c r="X83" s="53"/>
    </row>
    <row r="84" spans="1:24" x14ac:dyDescent="0.3">
      <c r="A84" s="6">
        <v>45685</v>
      </c>
      <c r="B84" s="24">
        <v>69</v>
      </c>
      <c r="C84" s="24">
        <v>1</v>
      </c>
      <c r="D84" s="16" t="s">
        <v>158</v>
      </c>
      <c r="E84" s="16"/>
      <c r="F84" s="16" t="s">
        <v>76</v>
      </c>
      <c r="G84" s="16"/>
      <c r="H84" s="15" t="s">
        <v>157</v>
      </c>
      <c r="I84" s="15" t="s">
        <v>157</v>
      </c>
      <c r="J84" s="16" t="s">
        <v>5</v>
      </c>
      <c r="K84" s="16"/>
      <c r="L84" s="70" t="s">
        <v>156</v>
      </c>
      <c r="M84" s="70" t="s">
        <v>156</v>
      </c>
      <c r="N84" s="29"/>
      <c r="O84" s="24">
        <v>3771</v>
      </c>
      <c r="P84" s="24">
        <v>3772</v>
      </c>
      <c r="Q84" s="13">
        <f>P84-O84</f>
        <v>1</v>
      </c>
      <c r="R84" s="24"/>
      <c r="S84" s="24" t="s">
        <v>155</v>
      </c>
      <c r="T84" s="53">
        <v>3222</v>
      </c>
      <c r="U84" s="55" t="s">
        <v>154</v>
      </c>
      <c r="V84" s="53">
        <f>500+T84</f>
        <v>3722</v>
      </c>
      <c r="W84" s="58">
        <f>V84-P84</f>
        <v>-50</v>
      </c>
      <c r="X84" s="53"/>
    </row>
    <row r="85" spans="1:24" x14ac:dyDescent="0.3">
      <c r="A85" s="6">
        <v>45685</v>
      </c>
      <c r="B85" s="65">
        <v>70</v>
      </c>
      <c r="C85" s="65">
        <v>2</v>
      </c>
      <c r="D85" s="68" t="s">
        <v>153</v>
      </c>
      <c r="E85" s="68"/>
      <c r="F85" s="68" t="s">
        <v>76</v>
      </c>
      <c r="G85" s="68"/>
      <c r="H85" s="69" t="s">
        <v>78</v>
      </c>
      <c r="I85" s="69" t="s">
        <v>78</v>
      </c>
      <c r="J85" s="68" t="s">
        <v>5</v>
      </c>
      <c r="K85" s="68"/>
      <c r="L85" s="67" t="s">
        <v>149</v>
      </c>
      <c r="M85" s="67" t="s">
        <v>149</v>
      </c>
      <c r="N85" s="66"/>
      <c r="O85" s="65">
        <v>2189</v>
      </c>
      <c r="P85" s="65">
        <v>2189</v>
      </c>
      <c r="Q85" s="13">
        <f>P85-O85</f>
        <v>0</v>
      </c>
      <c r="R85" s="65"/>
      <c r="S85" s="65"/>
      <c r="T85" s="62">
        <v>1465</v>
      </c>
      <c r="U85" s="64">
        <v>45012</v>
      </c>
      <c r="V85" s="62">
        <f>500+T85</f>
        <v>1965</v>
      </c>
      <c r="W85" s="63">
        <f>V85-P85</f>
        <v>-224</v>
      </c>
      <c r="X85" s="62"/>
    </row>
    <row r="86" spans="1:24" x14ac:dyDescent="0.3">
      <c r="A86" s="6">
        <v>45685</v>
      </c>
      <c r="B86" s="56" t="s">
        <v>152</v>
      </c>
      <c r="C86" s="56"/>
      <c r="D86" s="56"/>
      <c r="E86" s="16"/>
      <c r="F86" s="16"/>
      <c r="G86" s="16"/>
      <c r="H86" s="15"/>
      <c r="I86" s="15"/>
      <c r="J86" s="16"/>
      <c r="K86" s="16"/>
      <c r="L86" s="16"/>
      <c r="M86" s="16"/>
      <c r="N86" s="24"/>
      <c r="O86" s="24"/>
      <c r="P86" s="24"/>
      <c r="Q86" s="13">
        <f>P86-O86</f>
        <v>0</v>
      </c>
      <c r="R86" s="24"/>
      <c r="S86" s="24"/>
      <c r="T86" s="53"/>
      <c r="U86" s="53"/>
      <c r="V86" s="53"/>
      <c r="W86" s="53"/>
      <c r="X86" s="53"/>
    </row>
    <row r="87" spans="1:24" x14ac:dyDescent="0.3">
      <c r="A87" s="6">
        <v>45685</v>
      </c>
      <c r="B87" s="24">
        <v>71</v>
      </c>
      <c r="C87" s="24">
        <v>1</v>
      </c>
      <c r="D87" s="16" t="s">
        <v>151</v>
      </c>
      <c r="E87" s="16"/>
      <c r="F87" s="16" t="s">
        <v>76</v>
      </c>
      <c r="G87" s="16"/>
      <c r="H87" s="15" t="s">
        <v>150</v>
      </c>
      <c r="I87" s="15" t="s">
        <v>150</v>
      </c>
      <c r="J87" s="16" t="s">
        <v>5</v>
      </c>
      <c r="K87" s="16"/>
      <c r="L87" s="16"/>
      <c r="M87" s="61" t="s">
        <v>149</v>
      </c>
      <c r="N87" s="24"/>
      <c r="O87" s="24"/>
      <c r="P87" s="24"/>
      <c r="Q87" s="13">
        <f>P87-O87</f>
        <v>0</v>
      </c>
      <c r="R87" s="24"/>
      <c r="S87" s="24"/>
      <c r="T87" s="53"/>
      <c r="U87" s="53"/>
      <c r="V87" s="53">
        <f>500+T87</f>
        <v>500</v>
      </c>
      <c r="W87" s="53">
        <f>V87-P87</f>
        <v>500</v>
      </c>
      <c r="X87" s="53"/>
    </row>
    <row r="88" spans="1:24" ht="28.8" x14ac:dyDescent="0.3">
      <c r="A88" s="6">
        <v>45685</v>
      </c>
      <c r="B88" s="24">
        <v>72</v>
      </c>
      <c r="C88" s="24">
        <v>2</v>
      </c>
      <c r="D88" s="16" t="s">
        <v>148</v>
      </c>
      <c r="E88" s="16"/>
      <c r="F88" s="16" t="s">
        <v>76</v>
      </c>
      <c r="G88" s="16"/>
      <c r="H88" s="15" t="s">
        <v>147</v>
      </c>
      <c r="I88" s="15" t="s">
        <v>147</v>
      </c>
      <c r="J88" s="16" t="s">
        <v>5</v>
      </c>
      <c r="K88" s="15"/>
      <c r="L88" s="16" t="s">
        <v>146</v>
      </c>
      <c r="M88" s="16" t="s">
        <v>146</v>
      </c>
      <c r="N88" s="24"/>
      <c r="O88" s="24"/>
      <c r="P88" s="24"/>
      <c r="Q88" s="13">
        <f>P88-O88</f>
        <v>0</v>
      </c>
      <c r="R88" s="24"/>
      <c r="S88" s="24"/>
      <c r="T88" s="53"/>
      <c r="U88" s="55">
        <v>44525</v>
      </c>
      <c r="V88" s="53">
        <f>500+T88</f>
        <v>500</v>
      </c>
      <c r="W88" s="53">
        <f>V88-P88</f>
        <v>500</v>
      </c>
      <c r="X88" s="53"/>
    </row>
    <row r="89" spans="1:24" x14ac:dyDescent="0.3">
      <c r="A89" s="6">
        <v>45685</v>
      </c>
      <c r="B89" s="56" t="s">
        <v>145</v>
      </c>
      <c r="C89" s="56"/>
      <c r="D89" s="56"/>
      <c r="E89" s="16"/>
      <c r="F89" s="16"/>
      <c r="G89" s="16"/>
      <c r="H89" s="15"/>
      <c r="I89" s="15"/>
      <c r="J89" s="16"/>
      <c r="K89" s="16"/>
      <c r="L89" s="16"/>
      <c r="M89" s="16"/>
      <c r="N89" s="24"/>
      <c r="O89" s="24"/>
      <c r="P89" s="24"/>
      <c r="Q89" s="13">
        <f>P89-O89</f>
        <v>0</v>
      </c>
      <c r="R89" s="24"/>
      <c r="S89" s="24"/>
      <c r="T89" s="53"/>
      <c r="U89" s="53"/>
      <c r="V89" s="53"/>
      <c r="W89" s="53"/>
      <c r="X89" s="53"/>
    </row>
    <row r="90" spans="1:24" x14ac:dyDescent="0.3">
      <c r="A90" s="6">
        <v>45685</v>
      </c>
      <c r="B90" s="24">
        <v>73</v>
      </c>
      <c r="C90" s="24">
        <v>1</v>
      </c>
      <c r="D90" s="16" t="s">
        <v>144</v>
      </c>
      <c r="E90" s="16"/>
      <c r="F90" s="16" t="s">
        <v>76</v>
      </c>
      <c r="G90" s="16"/>
      <c r="H90" s="15" t="s">
        <v>10</v>
      </c>
      <c r="I90" s="15" t="s">
        <v>10</v>
      </c>
      <c r="J90" s="16" t="s">
        <v>5</v>
      </c>
      <c r="K90" s="16"/>
      <c r="L90" s="16"/>
      <c r="M90" s="16"/>
      <c r="N90" s="24"/>
      <c r="O90" s="24">
        <v>1393</v>
      </c>
      <c r="P90" s="24"/>
      <c r="Q90" s="13">
        <f>P90-O90</f>
        <v>-1393</v>
      </c>
      <c r="R90" s="24"/>
      <c r="S90" s="24" t="s">
        <v>139</v>
      </c>
      <c r="T90" s="53">
        <v>1169</v>
      </c>
      <c r="U90" s="53" t="s">
        <v>143</v>
      </c>
      <c r="V90" s="53">
        <f>350+T90</f>
        <v>1519</v>
      </c>
      <c r="W90" s="53">
        <f>V90-P90</f>
        <v>1519</v>
      </c>
      <c r="X90" s="53"/>
    </row>
    <row r="91" spans="1:24" x14ac:dyDescent="0.3">
      <c r="A91" s="6">
        <v>45685</v>
      </c>
      <c r="B91" s="24">
        <v>74</v>
      </c>
      <c r="C91" s="24">
        <v>2</v>
      </c>
      <c r="D91" s="16" t="s">
        <v>142</v>
      </c>
      <c r="E91" s="16"/>
      <c r="F91" s="16" t="s">
        <v>76</v>
      </c>
      <c r="G91" s="16"/>
      <c r="H91" s="15" t="s">
        <v>135</v>
      </c>
      <c r="I91" s="15" t="s">
        <v>135</v>
      </c>
      <c r="J91" s="16" t="s">
        <v>5</v>
      </c>
      <c r="K91" s="16"/>
      <c r="L91" s="16"/>
      <c r="M91" s="16"/>
      <c r="N91" s="24"/>
      <c r="O91" s="24">
        <v>2383</v>
      </c>
      <c r="P91" s="24"/>
      <c r="Q91" s="13">
        <f>P91-O91</f>
        <v>-2383</v>
      </c>
      <c r="R91" s="24"/>
      <c r="S91" s="24" t="s">
        <v>139</v>
      </c>
      <c r="T91" s="53">
        <v>2367</v>
      </c>
      <c r="U91" s="53" t="s">
        <v>141</v>
      </c>
      <c r="V91" s="53">
        <f>350+T91</f>
        <v>2717</v>
      </c>
      <c r="W91" s="53">
        <f>V91-P91</f>
        <v>2717</v>
      </c>
      <c r="X91" s="53"/>
    </row>
    <row r="92" spans="1:24" x14ac:dyDescent="0.3">
      <c r="A92" s="6">
        <v>45685</v>
      </c>
      <c r="B92" s="24">
        <v>75</v>
      </c>
      <c r="C92" s="24">
        <v>3</v>
      </c>
      <c r="D92" s="16" t="s">
        <v>140</v>
      </c>
      <c r="E92" s="16"/>
      <c r="F92" s="16" t="s">
        <v>76</v>
      </c>
      <c r="G92" s="16"/>
      <c r="H92" s="15" t="s">
        <v>75</v>
      </c>
      <c r="I92" s="15" t="s">
        <v>75</v>
      </c>
      <c r="J92" s="16" t="s">
        <v>5</v>
      </c>
      <c r="K92" s="16"/>
      <c r="L92" s="16"/>
      <c r="M92" s="16"/>
      <c r="N92" s="16"/>
      <c r="O92" s="24">
        <v>1169</v>
      </c>
      <c r="P92" s="24"/>
      <c r="Q92" s="13">
        <f>P92-O92</f>
        <v>-1169</v>
      </c>
      <c r="R92" s="24"/>
      <c r="S92" s="24" t="s">
        <v>139</v>
      </c>
      <c r="T92" s="53">
        <v>1169</v>
      </c>
      <c r="U92" s="53" t="s">
        <v>138</v>
      </c>
      <c r="V92" s="53">
        <f>350+T92</f>
        <v>1519</v>
      </c>
      <c r="W92" s="53">
        <f>V92-P92</f>
        <v>1519</v>
      </c>
      <c r="X92" s="53"/>
    </row>
    <row r="93" spans="1:24" x14ac:dyDescent="0.3">
      <c r="A93" s="6">
        <v>45685</v>
      </c>
      <c r="B93" s="24">
        <v>76</v>
      </c>
      <c r="C93" s="24">
        <v>4</v>
      </c>
      <c r="D93" s="16" t="s">
        <v>137</v>
      </c>
      <c r="E93" s="16"/>
      <c r="F93" s="16" t="s">
        <v>76</v>
      </c>
      <c r="G93" s="16"/>
      <c r="H93" s="15" t="s">
        <v>135</v>
      </c>
      <c r="I93" s="15" t="s">
        <v>135</v>
      </c>
      <c r="J93" s="16" t="s">
        <v>5</v>
      </c>
      <c r="K93" s="16"/>
      <c r="L93" s="16"/>
      <c r="M93" s="16"/>
      <c r="N93" s="16"/>
      <c r="O93" s="24"/>
      <c r="P93" s="24"/>
      <c r="Q93" s="13">
        <f>P93-O93</f>
        <v>0</v>
      </c>
      <c r="R93" s="24"/>
      <c r="S93" s="24"/>
      <c r="T93" s="53"/>
      <c r="U93" s="53"/>
      <c r="V93" s="53">
        <f>500+T93</f>
        <v>500</v>
      </c>
      <c r="W93" s="53">
        <f>V93-P93</f>
        <v>500</v>
      </c>
      <c r="X93" s="53"/>
    </row>
    <row r="94" spans="1:24" x14ac:dyDescent="0.3">
      <c r="A94" s="6">
        <v>45685</v>
      </c>
      <c r="B94" s="24">
        <v>77</v>
      </c>
      <c r="C94" s="24">
        <v>5</v>
      </c>
      <c r="D94" s="16" t="s">
        <v>136</v>
      </c>
      <c r="E94" s="16"/>
      <c r="F94" s="16" t="s">
        <v>76</v>
      </c>
      <c r="G94" s="16"/>
      <c r="H94" s="15" t="s">
        <v>135</v>
      </c>
      <c r="I94" s="15" t="s">
        <v>135</v>
      </c>
      <c r="J94" s="16" t="s">
        <v>5</v>
      </c>
      <c r="K94" s="16"/>
      <c r="L94" s="16"/>
      <c r="M94" s="16"/>
      <c r="N94" s="24"/>
      <c r="O94" s="24"/>
      <c r="P94" s="24"/>
      <c r="Q94" s="13">
        <f>P94-O94</f>
        <v>0</v>
      </c>
      <c r="R94" s="24"/>
      <c r="S94" s="24"/>
      <c r="T94" s="53"/>
      <c r="U94" s="53"/>
      <c r="V94" s="53">
        <f>500+T94</f>
        <v>500</v>
      </c>
      <c r="W94" s="53">
        <f>V94-P94</f>
        <v>500</v>
      </c>
      <c r="X94" s="53"/>
    </row>
    <row r="95" spans="1:24" x14ac:dyDescent="0.3">
      <c r="A95" s="6">
        <v>45685</v>
      </c>
      <c r="B95" s="56" t="s">
        <v>134</v>
      </c>
      <c r="C95" s="56"/>
      <c r="D95" s="56"/>
      <c r="E95" s="16"/>
      <c r="F95" s="16"/>
      <c r="G95" s="16"/>
      <c r="H95" s="15"/>
      <c r="I95" s="15"/>
      <c r="J95" s="16"/>
      <c r="K95" s="16"/>
      <c r="L95" s="16"/>
      <c r="M95" s="16"/>
      <c r="N95" s="24"/>
      <c r="O95" s="24"/>
      <c r="P95" s="24"/>
      <c r="Q95" s="13">
        <f>P95-O95</f>
        <v>0</v>
      </c>
      <c r="R95" s="24"/>
      <c r="S95" s="24"/>
      <c r="T95" s="53"/>
      <c r="U95" s="53"/>
      <c r="V95" s="53"/>
      <c r="W95" s="53"/>
      <c r="X95" s="53"/>
    </row>
    <row r="96" spans="1:24" ht="28.8" x14ac:dyDescent="0.3">
      <c r="A96" s="6">
        <v>45685</v>
      </c>
      <c r="B96" s="24">
        <v>78</v>
      </c>
      <c r="C96" s="24">
        <v>1</v>
      </c>
      <c r="D96" s="16" t="s">
        <v>133</v>
      </c>
      <c r="E96" s="16"/>
      <c r="F96" s="16" t="s">
        <v>76</v>
      </c>
      <c r="G96" s="16"/>
      <c r="H96" s="15" t="s">
        <v>132</v>
      </c>
      <c r="I96" s="15" t="s">
        <v>132</v>
      </c>
      <c r="J96" s="16" t="s">
        <v>5</v>
      </c>
      <c r="K96" s="16"/>
      <c r="L96" s="16" t="s">
        <v>121</v>
      </c>
      <c r="M96" s="16" t="s">
        <v>121</v>
      </c>
      <c r="N96" s="24"/>
      <c r="O96" s="24"/>
      <c r="P96" s="24"/>
      <c r="Q96" s="13">
        <f>P96-O96</f>
        <v>0</v>
      </c>
      <c r="R96" s="24"/>
      <c r="S96" s="24"/>
      <c r="T96" s="53">
        <v>395</v>
      </c>
      <c r="U96" s="53" t="s">
        <v>131</v>
      </c>
      <c r="V96" s="53">
        <f>400+T96</f>
        <v>795</v>
      </c>
      <c r="W96" s="53">
        <f>V96-P96</f>
        <v>795</v>
      </c>
      <c r="X96" s="53"/>
    </row>
    <row r="97" spans="1:24" ht="28.8" x14ac:dyDescent="0.3">
      <c r="A97" s="6">
        <v>45685</v>
      </c>
      <c r="B97" s="24">
        <v>79</v>
      </c>
      <c r="C97" s="24">
        <v>2</v>
      </c>
      <c r="D97" s="16" t="s">
        <v>130</v>
      </c>
      <c r="E97" s="16"/>
      <c r="F97" s="16" t="s">
        <v>76</v>
      </c>
      <c r="G97" s="16"/>
      <c r="H97" s="15" t="s">
        <v>129</v>
      </c>
      <c r="I97" s="15" t="s">
        <v>129</v>
      </c>
      <c r="J97" s="16" t="s">
        <v>5</v>
      </c>
      <c r="K97" s="16"/>
      <c r="L97" s="16"/>
      <c r="M97" s="16"/>
      <c r="N97" s="24"/>
      <c r="O97" s="24">
        <v>3881</v>
      </c>
      <c r="P97" s="24"/>
      <c r="Q97" s="13">
        <f>P97-O97</f>
        <v>-3881</v>
      </c>
      <c r="R97" s="24"/>
      <c r="S97" s="24"/>
      <c r="T97" s="53">
        <v>3713</v>
      </c>
      <c r="U97" s="53" t="s">
        <v>128</v>
      </c>
      <c r="V97" s="53">
        <f>400+T97</f>
        <v>4113</v>
      </c>
      <c r="W97" s="53">
        <f>V97-P97</f>
        <v>4113</v>
      </c>
      <c r="X97" s="53"/>
    </row>
    <row r="98" spans="1:24" ht="28.8" x14ac:dyDescent="0.3">
      <c r="A98" s="6">
        <v>45685</v>
      </c>
      <c r="B98" s="24">
        <v>80</v>
      </c>
      <c r="C98" s="24">
        <v>3</v>
      </c>
      <c r="D98" s="16" t="s">
        <v>127</v>
      </c>
      <c r="E98" s="16"/>
      <c r="F98" s="16" t="s">
        <v>76</v>
      </c>
      <c r="G98" s="16"/>
      <c r="H98" s="15" t="s">
        <v>126</v>
      </c>
      <c r="I98" s="15" t="s">
        <v>126</v>
      </c>
      <c r="J98" s="16" t="s">
        <v>5</v>
      </c>
      <c r="K98" s="16"/>
      <c r="L98" s="16"/>
      <c r="M98" s="16"/>
      <c r="N98" s="24"/>
      <c r="O98" s="24">
        <v>1006</v>
      </c>
      <c r="P98" s="24"/>
      <c r="Q98" s="13">
        <f>P98-O98</f>
        <v>-1006</v>
      </c>
      <c r="R98" s="24"/>
      <c r="S98" s="24"/>
      <c r="T98" s="53">
        <v>324</v>
      </c>
      <c r="U98" s="53" t="s">
        <v>125</v>
      </c>
      <c r="V98" s="53">
        <f>400+T98</f>
        <v>724</v>
      </c>
      <c r="W98" s="60">
        <f>V98-P98</f>
        <v>724</v>
      </c>
      <c r="X98" s="53" t="s">
        <v>124</v>
      </c>
    </row>
    <row r="99" spans="1:24" x14ac:dyDescent="0.3">
      <c r="A99" s="6">
        <v>45685</v>
      </c>
      <c r="B99" s="24">
        <v>81</v>
      </c>
      <c r="C99" s="24">
        <v>4</v>
      </c>
      <c r="D99" s="16" t="s">
        <v>123</v>
      </c>
      <c r="E99" s="16"/>
      <c r="F99" s="16" t="s">
        <v>76</v>
      </c>
      <c r="G99" s="16"/>
      <c r="H99" s="15" t="s">
        <v>122</v>
      </c>
      <c r="I99" s="15" t="s">
        <v>122</v>
      </c>
      <c r="J99" s="16" t="s">
        <v>5</v>
      </c>
      <c r="K99" s="16"/>
      <c r="L99" s="16" t="s">
        <v>121</v>
      </c>
      <c r="M99" s="16" t="s">
        <v>121</v>
      </c>
      <c r="N99" s="24"/>
      <c r="O99" s="24">
        <v>6369</v>
      </c>
      <c r="P99" s="24"/>
      <c r="Q99" s="13">
        <f>P99-O99</f>
        <v>-6369</v>
      </c>
      <c r="R99" s="24"/>
      <c r="S99" s="24"/>
      <c r="T99" s="53">
        <v>6161</v>
      </c>
      <c r="U99" s="53" t="s">
        <v>120</v>
      </c>
      <c r="V99" s="53">
        <f>400+T99</f>
        <v>6561</v>
      </c>
      <c r="W99" s="58">
        <f>V99-P99</f>
        <v>6561</v>
      </c>
      <c r="X99" s="53"/>
    </row>
    <row r="100" spans="1:24" ht="28.8" x14ac:dyDescent="0.3">
      <c r="A100" s="6">
        <v>45685</v>
      </c>
      <c r="B100" s="24">
        <v>82</v>
      </c>
      <c r="C100" s="24">
        <v>5</v>
      </c>
      <c r="D100" s="16" t="s">
        <v>119</v>
      </c>
      <c r="E100" s="16"/>
      <c r="F100" s="16" t="s">
        <v>76</v>
      </c>
      <c r="G100" s="16"/>
      <c r="H100" s="15" t="s">
        <v>118</v>
      </c>
      <c r="I100" s="15" t="s">
        <v>118</v>
      </c>
      <c r="J100" s="16" t="s">
        <v>5</v>
      </c>
      <c r="K100" s="16"/>
      <c r="L100" s="16" t="s">
        <v>117</v>
      </c>
      <c r="M100" s="16" t="s">
        <v>117</v>
      </c>
      <c r="N100" s="24"/>
      <c r="O100" s="24">
        <v>520</v>
      </c>
      <c r="P100" s="24"/>
      <c r="Q100" s="13">
        <f>P100-O100</f>
        <v>-520</v>
      </c>
      <c r="R100" s="24"/>
      <c r="S100" s="24"/>
      <c r="T100" s="53">
        <v>318</v>
      </c>
      <c r="U100" s="53" t="s">
        <v>116</v>
      </c>
      <c r="V100" s="53">
        <f>400+T100</f>
        <v>718</v>
      </c>
      <c r="W100" s="53">
        <f>V100-P100</f>
        <v>718</v>
      </c>
      <c r="X100" s="53"/>
    </row>
    <row r="101" spans="1:24" x14ac:dyDescent="0.3">
      <c r="A101" s="6">
        <v>45685</v>
      </c>
      <c r="B101" s="24">
        <v>83</v>
      </c>
      <c r="C101" s="24">
        <v>6</v>
      </c>
      <c r="D101" s="16" t="s">
        <v>115</v>
      </c>
      <c r="E101" s="16"/>
      <c r="F101" s="16" t="s">
        <v>76</v>
      </c>
      <c r="G101" s="16"/>
      <c r="H101" s="15" t="s">
        <v>114</v>
      </c>
      <c r="I101" s="15" t="s">
        <v>114</v>
      </c>
      <c r="J101" s="16" t="s">
        <v>5</v>
      </c>
      <c r="K101" s="16"/>
      <c r="L101" s="16" t="s">
        <v>113</v>
      </c>
      <c r="M101" s="16" t="s">
        <v>113</v>
      </c>
      <c r="N101" s="24"/>
      <c r="O101" s="24">
        <v>5970</v>
      </c>
      <c r="P101" s="24"/>
      <c r="Q101" s="13">
        <f>P101-O101</f>
        <v>-5970</v>
      </c>
      <c r="R101" s="24"/>
      <c r="S101" s="24"/>
      <c r="T101" s="53">
        <v>5550</v>
      </c>
      <c r="U101" s="53" t="s">
        <v>112</v>
      </c>
      <c r="V101" s="53">
        <f>400+T101</f>
        <v>5950</v>
      </c>
      <c r="W101" s="60">
        <f>V101-P101</f>
        <v>5950</v>
      </c>
      <c r="X101" s="53"/>
    </row>
    <row r="102" spans="1:24" x14ac:dyDescent="0.3">
      <c r="A102" s="6">
        <v>45685</v>
      </c>
      <c r="B102" s="24">
        <v>84</v>
      </c>
      <c r="C102" s="24">
        <v>7</v>
      </c>
      <c r="D102" s="16" t="s">
        <v>111</v>
      </c>
      <c r="E102" s="16"/>
      <c r="F102" s="16" t="s">
        <v>76</v>
      </c>
      <c r="G102" s="16"/>
      <c r="H102" s="15" t="s">
        <v>88</v>
      </c>
      <c r="I102" s="15" t="s">
        <v>88</v>
      </c>
      <c r="J102" s="16" t="s">
        <v>5</v>
      </c>
      <c r="K102" s="16"/>
      <c r="L102" s="16" t="s">
        <v>110</v>
      </c>
      <c r="M102" s="16" t="s">
        <v>110</v>
      </c>
      <c r="N102" s="24"/>
      <c r="O102" s="24"/>
      <c r="P102" s="24"/>
      <c r="Q102" s="13">
        <f>P102-O102</f>
        <v>0</v>
      </c>
      <c r="R102" s="24"/>
      <c r="S102" s="24"/>
      <c r="T102" s="53">
        <v>0</v>
      </c>
      <c r="U102" s="55">
        <v>44478</v>
      </c>
      <c r="V102" s="53">
        <f>400+T102</f>
        <v>400</v>
      </c>
      <c r="W102" s="53">
        <f>V102-P102</f>
        <v>400</v>
      </c>
      <c r="X102" s="53"/>
    </row>
    <row r="103" spans="1:24" x14ac:dyDescent="0.3">
      <c r="A103" s="6">
        <v>45685</v>
      </c>
      <c r="B103" s="24">
        <v>85</v>
      </c>
      <c r="C103" s="24">
        <v>8</v>
      </c>
      <c r="D103" s="16" t="s">
        <v>109</v>
      </c>
      <c r="E103" s="16"/>
      <c r="F103" s="16" t="s">
        <v>76</v>
      </c>
      <c r="G103" s="16"/>
      <c r="H103" s="15" t="s">
        <v>108</v>
      </c>
      <c r="I103" s="15" t="s">
        <v>108</v>
      </c>
      <c r="J103" s="16" t="s">
        <v>5</v>
      </c>
      <c r="K103" s="16"/>
      <c r="L103" s="16" t="s">
        <v>107</v>
      </c>
      <c r="M103" s="16" t="s">
        <v>107</v>
      </c>
      <c r="N103" s="24"/>
      <c r="O103" s="24">
        <v>3209</v>
      </c>
      <c r="P103" s="24"/>
      <c r="Q103" s="13">
        <f>P103-O103</f>
        <v>-3209</v>
      </c>
      <c r="R103" s="24"/>
      <c r="S103" s="24"/>
      <c r="T103" s="53">
        <v>3171</v>
      </c>
      <c r="U103" s="55" t="s">
        <v>106</v>
      </c>
      <c r="V103" s="53">
        <f>400+T103</f>
        <v>3571</v>
      </c>
      <c r="W103" s="53">
        <f>V103-P103</f>
        <v>3571</v>
      </c>
      <c r="X103" s="53"/>
    </row>
    <row r="104" spans="1:24" x14ac:dyDescent="0.3">
      <c r="A104" s="6">
        <v>45685</v>
      </c>
      <c r="B104" s="24">
        <v>86</v>
      </c>
      <c r="C104" s="24">
        <v>9</v>
      </c>
      <c r="D104" s="16" t="s">
        <v>105</v>
      </c>
      <c r="E104" s="16"/>
      <c r="F104" s="16" t="s">
        <v>76</v>
      </c>
      <c r="G104" s="16"/>
      <c r="H104" s="15" t="s">
        <v>104</v>
      </c>
      <c r="I104" s="15" t="s">
        <v>104</v>
      </c>
      <c r="J104" s="16" t="s">
        <v>5</v>
      </c>
      <c r="K104" s="16"/>
      <c r="L104" s="16" t="s">
        <v>103</v>
      </c>
      <c r="M104" s="16" t="s">
        <v>103</v>
      </c>
      <c r="N104" s="24"/>
      <c r="O104" s="13">
        <v>3444.22</v>
      </c>
      <c r="P104" s="13"/>
      <c r="Q104" s="13">
        <f>P104-O104</f>
        <v>-3444.22</v>
      </c>
      <c r="R104" s="24"/>
      <c r="S104" s="24" t="s">
        <v>102</v>
      </c>
      <c r="T104" s="53">
        <v>3024</v>
      </c>
      <c r="U104" s="55">
        <v>45083</v>
      </c>
      <c r="V104" s="53">
        <f>400+T104</f>
        <v>3424</v>
      </c>
      <c r="W104" s="60">
        <f>V104-P104</f>
        <v>3424</v>
      </c>
      <c r="X104" s="53"/>
    </row>
    <row r="105" spans="1:24" ht="28.8" x14ac:dyDescent="0.3">
      <c r="A105" s="6">
        <v>45685</v>
      </c>
      <c r="B105" s="24">
        <v>87</v>
      </c>
      <c r="C105" s="24">
        <v>10</v>
      </c>
      <c r="D105" s="16" t="s">
        <v>101</v>
      </c>
      <c r="E105" s="16"/>
      <c r="F105" s="16" t="s">
        <v>76</v>
      </c>
      <c r="G105" s="16"/>
      <c r="H105" s="15" t="s">
        <v>100</v>
      </c>
      <c r="I105" s="15" t="s">
        <v>100</v>
      </c>
      <c r="J105" s="16" t="s">
        <v>5</v>
      </c>
      <c r="K105" s="16"/>
      <c r="L105" s="16" t="s">
        <v>99</v>
      </c>
      <c r="M105" s="16" t="s">
        <v>99</v>
      </c>
      <c r="N105" s="24"/>
      <c r="O105" s="24"/>
      <c r="P105" s="24"/>
      <c r="Q105" s="13">
        <f>P105-O105</f>
        <v>0</v>
      </c>
      <c r="R105" s="24"/>
      <c r="S105" s="24" t="s">
        <v>98</v>
      </c>
      <c r="T105" s="53">
        <v>1098</v>
      </c>
      <c r="U105" s="59" t="s">
        <v>97</v>
      </c>
      <c r="V105" s="53">
        <f>400+T105</f>
        <v>1498</v>
      </c>
      <c r="W105" s="53">
        <f>V105-P105</f>
        <v>1498</v>
      </c>
      <c r="X105" s="53"/>
    </row>
    <row r="106" spans="1:24" x14ac:dyDescent="0.3">
      <c r="A106" s="6">
        <v>45685</v>
      </c>
      <c r="B106" s="24">
        <v>88</v>
      </c>
      <c r="C106" s="24">
        <v>11</v>
      </c>
      <c r="D106" s="16" t="s">
        <v>96</v>
      </c>
      <c r="E106" s="16"/>
      <c r="F106" s="16" t="s">
        <v>76</v>
      </c>
      <c r="G106" s="16"/>
      <c r="H106" s="15" t="s">
        <v>95</v>
      </c>
      <c r="I106" s="15" t="s">
        <v>95</v>
      </c>
      <c r="J106" s="16" t="s">
        <v>5</v>
      </c>
      <c r="K106" s="16"/>
      <c r="L106" s="16"/>
      <c r="M106" s="16"/>
      <c r="N106" s="24"/>
      <c r="O106" s="24"/>
      <c r="P106" s="24"/>
      <c r="Q106" s="13">
        <f>P106-O106</f>
        <v>0</v>
      </c>
      <c r="R106" s="24"/>
      <c r="S106" s="24"/>
      <c r="T106" s="53">
        <v>2170</v>
      </c>
      <c r="U106" s="55" t="s">
        <v>94</v>
      </c>
      <c r="V106" s="53">
        <f>400+T106</f>
        <v>2570</v>
      </c>
      <c r="W106" s="53">
        <f>V106-P106</f>
        <v>2570</v>
      </c>
      <c r="X106" s="53"/>
    </row>
    <row r="107" spans="1:24" x14ac:dyDescent="0.3">
      <c r="A107" s="6">
        <v>45685</v>
      </c>
      <c r="B107" s="24">
        <v>89</v>
      </c>
      <c r="C107" s="24">
        <v>12</v>
      </c>
      <c r="D107" s="16" t="s">
        <v>93</v>
      </c>
      <c r="E107" s="16"/>
      <c r="F107" s="16" t="s">
        <v>76</v>
      </c>
      <c r="G107" s="16"/>
      <c r="H107" s="15" t="s">
        <v>10</v>
      </c>
      <c r="I107" s="15" t="s">
        <v>10</v>
      </c>
      <c r="J107" s="16" t="s">
        <v>5</v>
      </c>
      <c r="K107" s="16"/>
      <c r="L107" s="16"/>
      <c r="M107" s="16"/>
      <c r="N107" s="24"/>
      <c r="O107" s="24"/>
      <c r="P107" s="24"/>
      <c r="Q107" s="13">
        <f>P107-O107</f>
        <v>0</v>
      </c>
      <c r="R107" s="24"/>
      <c r="S107" s="24"/>
      <c r="T107" s="53"/>
      <c r="U107" s="55">
        <v>44921</v>
      </c>
      <c r="V107" s="53">
        <f>400+T107</f>
        <v>400</v>
      </c>
      <c r="W107" s="53">
        <f>V107-P107</f>
        <v>400</v>
      </c>
      <c r="X107" s="53"/>
    </row>
    <row r="108" spans="1:24" x14ac:dyDescent="0.3">
      <c r="A108" s="6">
        <v>45685</v>
      </c>
      <c r="B108" s="56" t="s">
        <v>92</v>
      </c>
      <c r="C108" s="56"/>
      <c r="D108" s="56"/>
      <c r="E108" s="16"/>
      <c r="F108" s="16"/>
      <c r="G108" s="16"/>
      <c r="H108" s="15"/>
      <c r="I108" s="15"/>
      <c r="J108" s="16"/>
      <c r="K108" s="16"/>
      <c r="L108" s="16"/>
      <c r="M108" s="16"/>
      <c r="N108" s="24"/>
      <c r="O108" s="24"/>
      <c r="P108" s="24"/>
      <c r="Q108" s="13">
        <f>P108-O108</f>
        <v>0</v>
      </c>
      <c r="R108" s="24"/>
      <c r="S108" s="24"/>
      <c r="T108" s="53"/>
      <c r="U108" s="55"/>
      <c r="V108" s="53"/>
      <c r="W108" s="58">
        <f>V108-P108</f>
        <v>0</v>
      </c>
      <c r="X108" s="53"/>
    </row>
    <row r="109" spans="1:24" x14ac:dyDescent="0.3">
      <c r="A109" s="6">
        <v>45685</v>
      </c>
      <c r="B109" s="24">
        <v>90</v>
      </c>
      <c r="C109" s="24">
        <v>1</v>
      </c>
      <c r="D109" s="16" t="s">
        <v>91</v>
      </c>
      <c r="E109" s="16"/>
      <c r="F109" s="16" t="s">
        <v>76</v>
      </c>
      <c r="G109" s="16"/>
      <c r="H109" s="15" t="s">
        <v>90</v>
      </c>
      <c r="I109" s="15" t="s">
        <v>90</v>
      </c>
      <c r="J109" s="16" t="s">
        <v>85</v>
      </c>
      <c r="K109" s="16"/>
      <c r="L109" s="16"/>
      <c r="M109" s="16"/>
      <c r="N109" s="24"/>
      <c r="O109" s="57"/>
      <c r="P109" s="57"/>
      <c r="Q109" s="13">
        <f>P109-O109</f>
        <v>0</v>
      </c>
      <c r="R109" s="24"/>
      <c r="S109" s="24"/>
      <c r="T109" s="53"/>
      <c r="U109" s="55"/>
      <c r="V109" s="53"/>
      <c r="W109" s="53"/>
      <c r="X109" s="53"/>
    </row>
    <row r="110" spans="1:24" x14ac:dyDescent="0.3">
      <c r="A110" s="6">
        <v>45685</v>
      </c>
      <c r="B110" s="24">
        <v>91</v>
      </c>
      <c r="C110" s="24">
        <v>2</v>
      </c>
      <c r="D110" s="16" t="s">
        <v>89</v>
      </c>
      <c r="E110" s="16"/>
      <c r="F110" s="16" t="s">
        <v>76</v>
      </c>
      <c r="G110" s="16"/>
      <c r="H110" s="15" t="s">
        <v>88</v>
      </c>
      <c r="I110" s="15" t="s">
        <v>88</v>
      </c>
      <c r="J110" s="16" t="s">
        <v>5</v>
      </c>
      <c r="K110" s="16"/>
      <c r="L110" s="16"/>
      <c r="M110" s="16"/>
      <c r="N110" s="24"/>
      <c r="O110" s="24"/>
      <c r="P110" s="24"/>
      <c r="Q110" s="13">
        <f>P110-O110</f>
        <v>0</v>
      </c>
      <c r="R110" s="57"/>
      <c r="S110" s="24"/>
      <c r="T110" s="53"/>
      <c r="U110" s="55"/>
      <c r="V110" s="53"/>
      <c r="W110" s="53"/>
      <c r="X110" s="53"/>
    </row>
    <row r="111" spans="1:24" x14ac:dyDescent="0.3">
      <c r="A111" s="6">
        <v>45685</v>
      </c>
      <c r="B111" s="24">
        <v>92</v>
      </c>
      <c r="C111" s="24">
        <v>3</v>
      </c>
      <c r="D111" s="16" t="s">
        <v>87</v>
      </c>
      <c r="E111" s="16"/>
      <c r="F111" s="16" t="s">
        <v>76</v>
      </c>
      <c r="G111" s="16"/>
      <c r="H111" s="15" t="s">
        <v>86</v>
      </c>
      <c r="I111" s="15" t="s">
        <v>86</v>
      </c>
      <c r="J111" s="16" t="s">
        <v>85</v>
      </c>
      <c r="K111" s="16"/>
      <c r="L111" s="16"/>
      <c r="M111" s="16"/>
      <c r="N111" s="24"/>
      <c r="O111" s="24"/>
      <c r="P111" s="24"/>
      <c r="Q111" s="13">
        <f>P111-O111</f>
        <v>0</v>
      </c>
      <c r="R111" s="24"/>
      <c r="S111" s="24"/>
      <c r="T111" s="53"/>
      <c r="U111" s="55"/>
      <c r="V111" s="53"/>
      <c r="W111" s="53"/>
      <c r="X111" s="53"/>
    </row>
    <row r="112" spans="1:24" x14ac:dyDescent="0.3">
      <c r="A112" s="6">
        <v>45685</v>
      </c>
      <c r="B112" s="24">
        <v>93</v>
      </c>
      <c r="C112" s="24">
        <v>4</v>
      </c>
      <c r="D112" s="16" t="s">
        <v>84</v>
      </c>
      <c r="E112" s="16"/>
      <c r="F112" s="16" t="s">
        <v>76</v>
      </c>
      <c r="G112" s="16"/>
      <c r="H112" s="23" t="s">
        <v>83</v>
      </c>
      <c r="I112" s="23" t="s">
        <v>83</v>
      </c>
      <c r="J112" s="16" t="s">
        <v>5</v>
      </c>
      <c r="K112" s="16"/>
      <c r="L112" s="16"/>
      <c r="M112" s="16"/>
      <c r="N112" s="24"/>
      <c r="O112" s="24"/>
      <c r="P112" s="24"/>
      <c r="Q112" s="13">
        <f>P112-O112</f>
        <v>0</v>
      </c>
      <c r="R112" s="24"/>
      <c r="S112" s="24"/>
      <c r="T112" s="53"/>
      <c r="U112" s="55"/>
      <c r="V112" s="53"/>
      <c r="W112" s="53"/>
      <c r="X112" s="53"/>
    </row>
    <row r="113" spans="1:24" x14ac:dyDescent="0.3">
      <c r="A113" s="6">
        <v>45685</v>
      </c>
      <c r="B113" s="24">
        <v>94</v>
      </c>
      <c r="C113" s="24">
        <v>5</v>
      </c>
      <c r="D113" s="16" t="s">
        <v>82</v>
      </c>
      <c r="E113" s="16"/>
      <c r="F113" s="16" t="s">
        <v>76</v>
      </c>
      <c r="G113" s="16"/>
      <c r="H113" s="15" t="s">
        <v>81</v>
      </c>
      <c r="I113" s="15" t="s">
        <v>81</v>
      </c>
      <c r="J113" s="16" t="s">
        <v>5</v>
      </c>
      <c r="K113" s="16"/>
      <c r="L113" s="16"/>
      <c r="M113" s="16"/>
      <c r="N113" s="24"/>
      <c r="O113" s="24"/>
      <c r="P113" s="24"/>
      <c r="Q113" s="13">
        <f>P113-O113</f>
        <v>0</v>
      </c>
      <c r="R113" s="24"/>
      <c r="S113" s="24"/>
      <c r="T113" s="53"/>
      <c r="U113" s="55"/>
      <c r="V113" s="53"/>
      <c r="W113" s="53"/>
      <c r="X113" s="53"/>
    </row>
    <row r="114" spans="1:24" x14ac:dyDescent="0.3">
      <c r="A114" s="6">
        <v>45685</v>
      </c>
      <c r="B114" s="56" t="s">
        <v>80</v>
      </c>
      <c r="C114" s="56"/>
      <c r="D114" s="56"/>
      <c r="E114" s="16"/>
      <c r="F114" s="16"/>
      <c r="G114" s="16"/>
      <c r="H114" s="15"/>
      <c r="I114" s="15"/>
      <c r="J114" s="16"/>
      <c r="K114" s="16"/>
      <c r="L114" s="16"/>
      <c r="M114" s="16"/>
      <c r="N114" s="24"/>
      <c r="O114" s="24"/>
      <c r="P114" s="24"/>
      <c r="Q114" s="13">
        <f>P114-O114</f>
        <v>0</v>
      </c>
      <c r="R114" s="24"/>
      <c r="S114" s="24"/>
      <c r="T114" s="53"/>
      <c r="U114" s="55"/>
      <c r="V114" s="53"/>
      <c r="W114" s="53"/>
      <c r="X114" s="53"/>
    </row>
    <row r="115" spans="1:24" x14ac:dyDescent="0.3">
      <c r="A115" s="6">
        <v>45685</v>
      </c>
      <c r="B115" s="24">
        <v>95</v>
      </c>
      <c r="C115" s="24">
        <v>1</v>
      </c>
      <c r="D115" s="16" t="s">
        <v>79</v>
      </c>
      <c r="E115" s="16"/>
      <c r="F115" s="16" t="s">
        <v>76</v>
      </c>
      <c r="G115" s="16"/>
      <c r="H115" s="15" t="s">
        <v>78</v>
      </c>
      <c r="I115" s="15" t="s">
        <v>78</v>
      </c>
      <c r="J115" s="16" t="s">
        <v>74</v>
      </c>
      <c r="K115" s="16"/>
      <c r="L115" s="16"/>
      <c r="M115" s="16"/>
      <c r="N115" s="24"/>
      <c r="O115" s="24"/>
      <c r="P115" s="24"/>
      <c r="Q115" s="13">
        <f>P115-O115</f>
        <v>0</v>
      </c>
      <c r="R115" s="24"/>
      <c r="S115" s="24"/>
      <c r="T115" s="53"/>
      <c r="U115" s="55"/>
      <c r="V115" s="53"/>
      <c r="W115" s="53"/>
      <c r="X115" s="53"/>
    </row>
    <row r="116" spans="1:24" x14ac:dyDescent="0.3">
      <c r="A116" s="6">
        <v>45685</v>
      </c>
      <c r="B116" s="9">
        <v>96</v>
      </c>
      <c r="C116" s="9">
        <v>2</v>
      </c>
      <c r="D116" s="15" t="s">
        <v>77</v>
      </c>
      <c r="E116" s="15"/>
      <c r="F116" s="15" t="s">
        <v>76</v>
      </c>
      <c r="G116" s="15"/>
      <c r="H116" s="15" t="s">
        <v>75</v>
      </c>
      <c r="I116" s="15" t="s">
        <v>75</v>
      </c>
      <c r="J116" s="15" t="s">
        <v>74</v>
      </c>
      <c r="K116" s="15"/>
      <c r="L116" s="15"/>
      <c r="M116" s="15"/>
      <c r="N116" s="9"/>
      <c r="O116" s="9"/>
      <c r="P116" s="9"/>
      <c r="Q116" s="13">
        <f>P116-O116</f>
        <v>0</v>
      </c>
      <c r="R116" s="9"/>
      <c r="S116" s="9"/>
      <c r="T116" s="54"/>
      <c r="U116" s="54"/>
      <c r="V116" s="54"/>
      <c r="W116" s="54"/>
      <c r="X116" s="53"/>
    </row>
    <row r="117" spans="1:24" x14ac:dyDescent="0.3">
      <c r="A117" s="6">
        <v>45685</v>
      </c>
      <c r="B117" s="51"/>
      <c r="C117" s="51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spans="1:24" ht="57.6" x14ac:dyDescent="0.3">
      <c r="A118" s="6">
        <v>45685</v>
      </c>
      <c r="B118" s="44" t="s">
        <v>73</v>
      </c>
      <c r="C118" s="47" t="s">
        <v>72</v>
      </c>
      <c r="D118" s="48" t="s">
        <v>71</v>
      </c>
      <c r="E118" s="48" t="s">
        <v>70</v>
      </c>
      <c r="F118" s="48" t="s">
        <v>69</v>
      </c>
      <c r="G118" s="48"/>
      <c r="H118" s="50" t="s">
        <v>67</v>
      </c>
      <c r="I118" s="50" t="s">
        <v>67</v>
      </c>
      <c r="J118" s="50" t="s">
        <v>66</v>
      </c>
      <c r="K118" s="49"/>
      <c r="L118" s="48" t="s">
        <v>65</v>
      </c>
      <c r="M118" s="48"/>
      <c r="N118" s="47"/>
      <c r="O118" s="44" t="s">
        <v>64</v>
      </c>
      <c r="P118" s="44"/>
      <c r="Q118" s="45" t="s">
        <v>63</v>
      </c>
      <c r="R118" s="46" t="s">
        <v>62</v>
      </c>
      <c r="S118" s="45" t="s">
        <v>61</v>
      </c>
      <c r="T118" s="44" t="s">
        <v>60</v>
      </c>
      <c r="U118" s="44" t="s">
        <v>59</v>
      </c>
      <c r="V118" s="44" t="s">
        <v>58</v>
      </c>
      <c r="W118" s="44" t="s">
        <v>57</v>
      </c>
      <c r="X118" s="43" t="s">
        <v>56</v>
      </c>
    </row>
    <row r="119" spans="1:24" ht="15" customHeight="1" x14ac:dyDescent="0.3">
      <c r="A119" s="6">
        <v>45685</v>
      </c>
      <c r="B119" s="9" t="s">
        <v>55</v>
      </c>
      <c r="C119" s="9"/>
      <c r="D119" s="9"/>
      <c r="E119" s="9"/>
      <c r="F119" s="15"/>
      <c r="G119" s="15"/>
      <c r="H119" s="15"/>
      <c r="I119" s="15"/>
      <c r="J119" s="15"/>
      <c r="K119" s="15"/>
      <c r="L119" s="15"/>
      <c r="M119" s="15"/>
      <c r="N119" s="36"/>
      <c r="O119" s="9"/>
      <c r="P119" s="9"/>
      <c r="Q119" s="9"/>
      <c r="R119" s="36"/>
      <c r="S119" s="36"/>
      <c r="T119" s="9"/>
      <c r="U119" s="9"/>
      <c r="V119" s="9"/>
      <c r="W119" s="9"/>
      <c r="X119" s="9"/>
    </row>
    <row r="120" spans="1:24" x14ac:dyDescent="0.3">
      <c r="A120" s="6">
        <v>45685</v>
      </c>
      <c r="B120" s="9">
        <v>1</v>
      </c>
      <c r="C120" s="9">
        <v>1</v>
      </c>
      <c r="D120" s="15" t="s">
        <v>7</v>
      </c>
      <c r="E120" s="15" t="s">
        <v>475</v>
      </c>
      <c r="F120" s="15"/>
      <c r="G120" s="15"/>
      <c r="H120" s="17" t="s">
        <v>10</v>
      </c>
      <c r="I120" s="17" t="s">
        <v>10</v>
      </c>
      <c r="J120" s="16" t="s">
        <v>5</v>
      </c>
      <c r="K120" s="15"/>
      <c r="L120" s="20" t="s">
        <v>54</v>
      </c>
      <c r="M120" s="20" t="s">
        <v>54</v>
      </c>
      <c r="N120" s="19"/>
      <c r="O120" s="9">
        <v>7743</v>
      </c>
      <c r="P120" s="9"/>
      <c r="Q120" s="9">
        <f>P120-O120</f>
        <v>-7743</v>
      </c>
      <c r="R120" s="12"/>
      <c r="S120" s="15"/>
      <c r="T120" s="9">
        <v>6697</v>
      </c>
      <c r="U120" s="9" t="s">
        <v>53</v>
      </c>
      <c r="V120" s="9">
        <f>500+T120</f>
        <v>7197</v>
      </c>
      <c r="W120" s="18">
        <f>V120-P120</f>
        <v>7197</v>
      </c>
      <c r="X120" s="9"/>
    </row>
    <row r="121" spans="1:24" x14ac:dyDescent="0.3">
      <c r="A121" s="6">
        <v>45685</v>
      </c>
      <c r="B121" s="9">
        <v>2</v>
      </c>
      <c r="C121" s="9">
        <v>2</v>
      </c>
      <c r="D121" s="15" t="s">
        <v>7</v>
      </c>
      <c r="E121" s="15" t="s">
        <v>475</v>
      </c>
      <c r="F121" s="15"/>
      <c r="G121" s="15"/>
      <c r="H121" s="17" t="s">
        <v>10</v>
      </c>
      <c r="I121" s="17" t="s">
        <v>10</v>
      </c>
      <c r="J121" s="16" t="s">
        <v>5</v>
      </c>
      <c r="K121" s="15"/>
      <c r="L121" s="20" t="s">
        <v>52</v>
      </c>
      <c r="M121" s="20" t="s">
        <v>52</v>
      </c>
      <c r="N121" s="19"/>
      <c r="O121" s="9">
        <v>5535</v>
      </c>
      <c r="P121" s="9"/>
      <c r="Q121" s="9">
        <f>P121-O121</f>
        <v>-5535</v>
      </c>
      <c r="R121" s="12"/>
      <c r="S121" s="15"/>
      <c r="T121" s="9">
        <v>4538</v>
      </c>
      <c r="U121" s="9" t="s">
        <v>51</v>
      </c>
      <c r="V121" s="9">
        <f>500+T121</f>
        <v>5038</v>
      </c>
      <c r="W121" s="18">
        <f>V121-P121</f>
        <v>5038</v>
      </c>
      <c r="X121" s="9"/>
    </row>
    <row r="122" spans="1:24" x14ac:dyDescent="0.3">
      <c r="A122" s="6">
        <v>45685</v>
      </c>
      <c r="B122" s="9">
        <v>3</v>
      </c>
      <c r="C122" s="9">
        <v>3</v>
      </c>
      <c r="D122" s="15" t="s">
        <v>7</v>
      </c>
      <c r="E122" s="15" t="s">
        <v>475</v>
      </c>
      <c r="F122" s="15"/>
      <c r="G122" s="15"/>
      <c r="H122" s="17" t="s">
        <v>10</v>
      </c>
      <c r="I122" s="17" t="s">
        <v>10</v>
      </c>
      <c r="J122" s="16" t="s">
        <v>5</v>
      </c>
      <c r="K122" s="15"/>
      <c r="L122" s="20" t="s">
        <v>50</v>
      </c>
      <c r="M122" s="20" t="s">
        <v>50</v>
      </c>
      <c r="N122" s="19"/>
      <c r="O122" s="9">
        <v>5385</v>
      </c>
      <c r="P122" s="9"/>
      <c r="Q122" s="9">
        <f>P122-O122</f>
        <v>-5385</v>
      </c>
      <c r="R122" s="12"/>
      <c r="S122" s="15"/>
      <c r="T122" s="9">
        <v>4712</v>
      </c>
      <c r="U122" s="9" t="s">
        <v>49</v>
      </c>
      <c r="V122" s="9">
        <f>500+T122</f>
        <v>5212</v>
      </c>
      <c r="W122" s="42">
        <f>V122-P122</f>
        <v>5212</v>
      </c>
      <c r="X122" s="9"/>
    </row>
    <row r="123" spans="1:24" x14ac:dyDescent="0.3">
      <c r="A123" s="6">
        <v>45685</v>
      </c>
      <c r="B123" s="9">
        <v>5</v>
      </c>
      <c r="C123" s="9">
        <v>5</v>
      </c>
      <c r="D123" s="15" t="s">
        <v>7</v>
      </c>
      <c r="E123" s="15" t="s">
        <v>475</v>
      </c>
      <c r="F123" s="15"/>
      <c r="G123" s="15"/>
      <c r="H123" s="17" t="s">
        <v>10</v>
      </c>
      <c r="I123" s="17" t="s">
        <v>10</v>
      </c>
      <c r="J123" s="16" t="s">
        <v>5</v>
      </c>
      <c r="K123" s="15"/>
      <c r="L123" s="20" t="s">
        <v>48</v>
      </c>
      <c r="M123" s="20" t="s">
        <v>48</v>
      </c>
      <c r="N123" s="19"/>
      <c r="O123" s="9">
        <v>5264</v>
      </c>
      <c r="P123" s="9"/>
      <c r="Q123" s="9">
        <f>P123-O123</f>
        <v>-5264</v>
      </c>
      <c r="R123" s="12"/>
      <c r="S123" s="15"/>
      <c r="T123" s="9">
        <v>4788</v>
      </c>
      <c r="U123" s="9" t="s">
        <v>47</v>
      </c>
      <c r="V123" s="9">
        <f>500+T123</f>
        <v>5288</v>
      </c>
      <c r="W123" s="10">
        <f>V123-P123</f>
        <v>5288</v>
      </c>
      <c r="X123" s="9"/>
    </row>
    <row r="124" spans="1:24" x14ac:dyDescent="0.3">
      <c r="A124" s="6">
        <v>45685</v>
      </c>
      <c r="B124" s="9">
        <v>11</v>
      </c>
      <c r="C124" s="9">
        <v>6</v>
      </c>
      <c r="D124" s="15" t="s">
        <v>7</v>
      </c>
      <c r="E124" s="15" t="s">
        <v>475</v>
      </c>
      <c r="F124" s="15"/>
      <c r="G124" s="15"/>
      <c r="H124" s="15" t="s">
        <v>10</v>
      </c>
      <c r="I124" s="15" t="s">
        <v>10</v>
      </c>
      <c r="J124" s="16" t="s">
        <v>5</v>
      </c>
      <c r="K124" s="15"/>
      <c r="L124" s="41"/>
      <c r="M124" s="16"/>
      <c r="N124" s="34"/>
      <c r="O124" s="9">
        <v>6966</v>
      </c>
      <c r="P124" s="9"/>
      <c r="Q124" s="9">
        <f>P124-O124</f>
        <v>-6966</v>
      </c>
      <c r="R124" s="38"/>
      <c r="S124" s="15"/>
      <c r="T124" s="9">
        <v>5958</v>
      </c>
      <c r="U124" s="9" t="s">
        <v>46</v>
      </c>
      <c r="V124" s="9">
        <f>500+T124</f>
        <v>6458</v>
      </c>
      <c r="W124" s="18">
        <f>V124-P124</f>
        <v>6458</v>
      </c>
      <c r="X124" s="9"/>
    </row>
    <row r="125" spans="1:24" x14ac:dyDescent="0.3">
      <c r="A125" s="6">
        <v>45685</v>
      </c>
      <c r="B125" s="9">
        <v>6</v>
      </c>
      <c r="C125" s="9">
        <v>1</v>
      </c>
      <c r="D125" s="15" t="s">
        <v>7</v>
      </c>
      <c r="E125" s="15" t="s">
        <v>475</v>
      </c>
      <c r="F125" s="15"/>
      <c r="G125" s="15"/>
      <c r="H125" s="15" t="s">
        <v>39</v>
      </c>
      <c r="I125" s="15" t="s">
        <v>39</v>
      </c>
      <c r="J125" s="16" t="s">
        <v>5</v>
      </c>
      <c r="K125" s="39"/>
      <c r="L125" s="20" t="s">
        <v>45</v>
      </c>
      <c r="M125" s="20" t="s">
        <v>45</v>
      </c>
      <c r="N125" s="9"/>
      <c r="O125" s="9">
        <v>2937</v>
      </c>
      <c r="P125" s="9"/>
      <c r="Q125" s="9">
        <f>P125-O125</f>
        <v>-2937</v>
      </c>
      <c r="R125" s="9"/>
      <c r="S125" s="15"/>
      <c r="T125" s="9">
        <v>2937</v>
      </c>
      <c r="U125" s="11">
        <v>45410</v>
      </c>
      <c r="V125" s="18"/>
      <c r="W125" s="18">
        <v>0</v>
      </c>
      <c r="X125" s="9"/>
    </row>
    <row r="126" spans="1:24" x14ac:dyDescent="0.3">
      <c r="A126" s="6">
        <v>45685</v>
      </c>
      <c r="B126" s="9">
        <v>7</v>
      </c>
      <c r="C126" s="9">
        <v>2</v>
      </c>
      <c r="D126" s="15" t="s">
        <v>7</v>
      </c>
      <c r="E126" s="15" t="s">
        <v>475</v>
      </c>
      <c r="F126" s="15"/>
      <c r="G126" s="15"/>
      <c r="H126" s="15" t="s">
        <v>39</v>
      </c>
      <c r="I126" s="15" t="s">
        <v>10</v>
      </c>
      <c r="J126" s="15" t="s">
        <v>44</v>
      </c>
      <c r="K126" s="15"/>
      <c r="L126" s="40" t="s">
        <v>13</v>
      </c>
      <c r="M126" s="40" t="s">
        <v>13</v>
      </c>
      <c r="N126" s="19"/>
      <c r="O126" s="9">
        <v>3682</v>
      </c>
      <c r="P126" s="9"/>
      <c r="Q126" s="9">
        <f>P126-O126</f>
        <v>-3682</v>
      </c>
      <c r="R126" s="12"/>
      <c r="S126" s="15"/>
      <c r="T126" s="9">
        <v>2672</v>
      </c>
      <c r="U126" s="9" t="s">
        <v>43</v>
      </c>
      <c r="V126" s="9">
        <f>500+T126</f>
        <v>3172</v>
      </c>
      <c r="W126" s="18">
        <f>V126-P126</f>
        <v>3172</v>
      </c>
      <c r="X126" s="9"/>
    </row>
    <row r="127" spans="1:24" x14ac:dyDescent="0.3">
      <c r="A127" s="6">
        <v>45685</v>
      </c>
      <c r="B127" s="9">
        <v>8</v>
      </c>
      <c r="C127" s="9">
        <v>3</v>
      </c>
      <c r="D127" s="15" t="s">
        <v>7</v>
      </c>
      <c r="E127" s="15" t="s">
        <v>475</v>
      </c>
      <c r="F127" s="15"/>
      <c r="G127" s="15"/>
      <c r="H127" s="17" t="s">
        <v>39</v>
      </c>
      <c r="I127" s="17" t="s">
        <v>39</v>
      </c>
      <c r="J127" s="16" t="s">
        <v>5</v>
      </c>
      <c r="K127" s="15"/>
      <c r="L127" s="16" t="s">
        <v>42</v>
      </c>
      <c r="M127" s="16" t="s">
        <v>42</v>
      </c>
      <c r="N127" s="34"/>
      <c r="O127" s="9">
        <v>4550</v>
      </c>
      <c r="P127" s="9"/>
      <c r="Q127" s="9">
        <f>P127-O127</f>
        <v>-4550</v>
      </c>
      <c r="R127" s="12"/>
      <c r="S127" s="15"/>
      <c r="T127" s="9">
        <v>3773</v>
      </c>
      <c r="U127" s="9" t="s">
        <v>41</v>
      </c>
      <c r="V127" s="9">
        <f>500+T127</f>
        <v>4273</v>
      </c>
      <c r="W127" s="18">
        <f>V127-P127</f>
        <v>4273</v>
      </c>
      <c r="X127" s="9"/>
    </row>
    <row r="128" spans="1:24" x14ac:dyDescent="0.3">
      <c r="A128" s="6">
        <v>45685</v>
      </c>
      <c r="B128" s="9">
        <v>9</v>
      </c>
      <c r="C128" s="9">
        <v>4</v>
      </c>
      <c r="D128" s="15" t="s">
        <v>7</v>
      </c>
      <c r="E128" s="15" t="s">
        <v>475</v>
      </c>
      <c r="F128" s="15"/>
      <c r="G128" s="15"/>
      <c r="H128" s="15" t="s">
        <v>39</v>
      </c>
      <c r="I128" s="15" t="s">
        <v>39</v>
      </c>
      <c r="J128" s="16" t="s">
        <v>5</v>
      </c>
      <c r="K128" s="39"/>
      <c r="L128" s="16" t="s">
        <v>40</v>
      </c>
      <c r="M128" s="16" t="s">
        <v>40</v>
      </c>
      <c r="N128" s="19"/>
      <c r="O128" s="9">
        <v>9314</v>
      </c>
      <c r="P128" s="9"/>
      <c r="Q128" s="9">
        <f>P128-O128</f>
        <v>-9314</v>
      </c>
      <c r="R128" s="38"/>
      <c r="S128" s="15"/>
      <c r="T128" s="18"/>
      <c r="U128" s="21">
        <v>45084</v>
      </c>
      <c r="V128" s="18">
        <v>0</v>
      </c>
      <c r="W128" s="18">
        <v>0</v>
      </c>
      <c r="X128" s="9"/>
    </row>
    <row r="129" spans="1:24" x14ac:dyDescent="0.3">
      <c r="A129" s="6">
        <v>45685</v>
      </c>
      <c r="B129" s="9">
        <v>10</v>
      </c>
      <c r="C129" s="9">
        <v>5</v>
      </c>
      <c r="D129" s="15" t="s">
        <v>7</v>
      </c>
      <c r="E129" s="15" t="s">
        <v>475</v>
      </c>
      <c r="F129" s="15"/>
      <c r="G129" s="15"/>
      <c r="H129" s="15" t="s">
        <v>39</v>
      </c>
      <c r="I129" s="15" t="s">
        <v>39</v>
      </c>
      <c r="J129" s="16" t="s">
        <v>5</v>
      </c>
      <c r="K129" s="15"/>
      <c r="L129" s="16" t="s">
        <v>38</v>
      </c>
      <c r="M129" s="16" t="s">
        <v>38</v>
      </c>
      <c r="N129" s="22"/>
      <c r="O129" s="24">
        <v>11156</v>
      </c>
      <c r="P129" s="24"/>
      <c r="Q129" s="9">
        <f>P129-O129</f>
        <v>-11156</v>
      </c>
      <c r="R129" s="24"/>
      <c r="S129" s="15"/>
      <c r="T129" s="9"/>
      <c r="U129" s="21">
        <v>45287</v>
      </c>
      <c r="V129" s="9"/>
      <c r="W129" s="18">
        <v>0</v>
      </c>
      <c r="X129" s="9"/>
    </row>
    <row r="130" spans="1:24" x14ac:dyDescent="0.3">
      <c r="A130" s="6">
        <v>45685</v>
      </c>
      <c r="B130" s="9">
        <v>12</v>
      </c>
      <c r="C130" s="9">
        <v>1</v>
      </c>
      <c r="D130" s="15" t="s">
        <v>7</v>
      </c>
      <c r="E130" s="15" t="s">
        <v>475</v>
      </c>
      <c r="F130" s="15"/>
      <c r="G130" s="15"/>
      <c r="H130" s="37" t="s">
        <v>33</v>
      </c>
      <c r="I130" s="37" t="s">
        <v>33</v>
      </c>
      <c r="J130" s="16" t="s">
        <v>5</v>
      </c>
      <c r="K130" s="15"/>
      <c r="L130" s="20" t="s">
        <v>37</v>
      </c>
      <c r="M130" s="20" t="s">
        <v>37</v>
      </c>
      <c r="N130" s="34"/>
      <c r="O130" s="9">
        <v>5451</v>
      </c>
      <c r="P130" s="9"/>
      <c r="Q130" s="9">
        <f>P130-O130</f>
        <v>-5451</v>
      </c>
      <c r="R130" s="9"/>
      <c r="S130" s="15"/>
      <c r="T130" s="9">
        <v>4367</v>
      </c>
      <c r="U130" s="9" t="s">
        <v>36</v>
      </c>
      <c r="V130" s="9">
        <f>500+T130</f>
        <v>4867</v>
      </c>
      <c r="W130" s="18">
        <f>V130-P130</f>
        <v>4867</v>
      </c>
      <c r="X130" s="9"/>
    </row>
    <row r="131" spans="1:24" x14ac:dyDescent="0.3">
      <c r="A131" s="6">
        <v>45685</v>
      </c>
      <c r="B131" s="9">
        <v>13</v>
      </c>
      <c r="C131" s="9">
        <v>2</v>
      </c>
      <c r="D131" s="15" t="s">
        <v>7</v>
      </c>
      <c r="E131" s="15" t="s">
        <v>475</v>
      </c>
      <c r="F131" s="15"/>
      <c r="G131" s="15"/>
      <c r="H131" s="37" t="s">
        <v>33</v>
      </c>
      <c r="I131" s="37" t="s">
        <v>33</v>
      </c>
      <c r="J131" s="16" t="s">
        <v>5</v>
      </c>
      <c r="K131" s="15"/>
      <c r="L131" s="16" t="s">
        <v>35</v>
      </c>
      <c r="M131" s="16" t="s">
        <v>35</v>
      </c>
      <c r="N131" s="36"/>
      <c r="O131" s="9">
        <v>5509</v>
      </c>
      <c r="P131" s="9"/>
      <c r="Q131" s="9">
        <f>P131-O131</f>
        <v>-5509</v>
      </c>
      <c r="R131" s="9"/>
      <c r="S131" s="15"/>
      <c r="T131" s="9">
        <v>5127</v>
      </c>
      <c r="U131" s="11" t="s">
        <v>34</v>
      </c>
      <c r="V131" s="9">
        <f>500+T131</f>
        <v>5627</v>
      </c>
      <c r="W131" s="10">
        <f>V131-P131</f>
        <v>5627</v>
      </c>
      <c r="X131" s="9"/>
    </row>
    <row r="132" spans="1:24" x14ac:dyDescent="0.3">
      <c r="A132" s="6">
        <v>45685</v>
      </c>
      <c r="B132" s="9">
        <v>14</v>
      </c>
      <c r="C132" s="9">
        <v>3</v>
      </c>
      <c r="D132" s="15" t="s">
        <v>7</v>
      </c>
      <c r="E132" s="15" t="s">
        <v>475</v>
      </c>
      <c r="F132" s="15"/>
      <c r="G132" s="15"/>
      <c r="H132" s="17" t="s">
        <v>33</v>
      </c>
      <c r="I132" s="17" t="s">
        <v>33</v>
      </c>
      <c r="J132" s="16" t="s">
        <v>5</v>
      </c>
      <c r="K132" s="15"/>
      <c r="L132" s="20" t="s">
        <v>32</v>
      </c>
      <c r="M132" s="20" t="s">
        <v>32</v>
      </c>
      <c r="N132" s="19"/>
      <c r="O132" s="9">
        <v>15081</v>
      </c>
      <c r="P132" s="9"/>
      <c r="Q132" s="10">
        <f>P132-O132</f>
        <v>-15081</v>
      </c>
      <c r="R132" s="9"/>
      <c r="S132" s="15"/>
      <c r="T132" s="9">
        <v>12852</v>
      </c>
      <c r="U132" s="9" t="s">
        <v>31</v>
      </c>
      <c r="V132" s="9">
        <f>500+T132</f>
        <v>13352</v>
      </c>
      <c r="W132" s="18">
        <f>V132-P132</f>
        <v>13352</v>
      </c>
      <c r="X132" s="9"/>
    </row>
    <row r="133" spans="1:24" x14ac:dyDescent="0.3">
      <c r="A133" s="6">
        <v>45685</v>
      </c>
      <c r="B133" s="9">
        <v>15</v>
      </c>
      <c r="C133" s="9">
        <v>1</v>
      </c>
      <c r="D133" s="15" t="s">
        <v>7</v>
      </c>
      <c r="E133" s="15" t="s">
        <v>475</v>
      </c>
      <c r="F133" s="15"/>
      <c r="G133" s="15"/>
      <c r="H133" s="33" t="s">
        <v>20</v>
      </c>
      <c r="I133" s="33" t="s">
        <v>20</v>
      </c>
      <c r="J133" s="16" t="s">
        <v>5</v>
      </c>
      <c r="K133" s="15"/>
      <c r="L133" s="20" t="s">
        <v>30</v>
      </c>
      <c r="M133" s="20" t="s">
        <v>30</v>
      </c>
      <c r="N133" s="9"/>
      <c r="O133" s="9">
        <v>8394</v>
      </c>
      <c r="P133" s="9"/>
      <c r="Q133" s="10">
        <f>P133-O133</f>
        <v>-8394</v>
      </c>
      <c r="R133" s="9"/>
      <c r="S133" s="32"/>
      <c r="T133" s="9">
        <v>7003</v>
      </c>
      <c r="U133" s="11" t="s">
        <v>29</v>
      </c>
      <c r="V133" s="9">
        <f>500+T133</f>
        <v>7503</v>
      </c>
      <c r="W133" s="35">
        <f>V133-P133</f>
        <v>7503</v>
      </c>
      <c r="X133" s="9"/>
    </row>
    <row r="134" spans="1:24" x14ac:dyDescent="0.3">
      <c r="A134" s="6">
        <v>45685</v>
      </c>
      <c r="B134" s="9">
        <v>16</v>
      </c>
      <c r="C134" s="9">
        <v>2</v>
      </c>
      <c r="D134" s="15" t="s">
        <v>7</v>
      </c>
      <c r="E134" s="15" t="s">
        <v>475</v>
      </c>
      <c r="F134" s="15"/>
      <c r="G134" s="15"/>
      <c r="H134" s="17" t="s">
        <v>20</v>
      </c>
      <c r="I134" s="17" t="s">
        <v>20</v>
      </c>
      <c r="J134" s="16" t="s">
        <v>5</v>
      </c>
      <c r="K134" s="15"/>
      <c r="L134" s="16" t="s">
        <v>28</v>
      </c>
      <c r="M134" s="16" t="s">
        <v>28</v>
      </c>
      <c r="N134" s="34"/>
      <c r="O134" s="9">
        <v>4338</v>
      </c>
      <c r="P134" s="9"/>
      <c r="Q134" s="9">
        <f>P134-O134</f>
        <v>-4338</v>
      </c>
      <c r="R134" s="12"/>
      <c r="S134" s="15"/>
      <c r="T134" s="9">
        <v>4338</v>
      </c>
      <c r="U134" s="9" t="s">
        <v>27</v>
      </c>
      <c r="V134" s="9">
        <f>500+T134</f>
        <v>4838</v>
      </c>
      <c r="W134" s="10">
        <f>V134-P134</f>
        <v>4838</v>
      </c>
      <c r="X134" s="9"/>
    </row>
    <row r="135" spans="1:24" x14ac:dyDescent="0.3">
      <c r="A135" s="6">
        <v>45685</v>
      </c>
      <c r="B135" s="9">
        <v>17</v>
      </c>
      <c r="C135" s="9">
        <v>3</v>
      </c>
      <c r="D135" s="15" t="s">
        <v>7</v>
      </c>
      <c r="E135" s="15" t="s">
        <v>475</v>
      </c>
      <c r="F135" s="15"/>
      <c r="G135" s="15"/>
      <c r="H135" s="33" t="s">
        <v>20</v>
      </c>
      <c r="I135" s="33" t="s">
        <v>20</v>
      </c>
      <c r="J135" s="16" t="s">
        <v>5</v>
      </c>
      <c r="K135" s="15"/>
      <c r="L135" s="20" t="s">
        <v>26</v>
      </c>
      <c r="M135" s="20" t="s">
        <v>26</v>
      </c>
      <c r="N135" s="9"/>
      <c r="O135" s="9">
        <v>3847</v>
      </c>
      <c r="P135" s="9"/>
      <c r="Q135" s="9">
        <f>P135-O135</f>
        <v>-3847</v>
      </c>
      <c r="R135" s="9"/>
      <c r="S135" s="32"/>
      <c r="T135" s="9">
        <v>3695</v>
      </c>
      <c r="U135" s="9" t="s">
        <v>25</v>
      </c>
      <c r="V135" s="9">
        <f>500+T135</f>
        <v>4195</v>
      </c>
      <c r="W135" s="10">
        <f>V135-P135</f>
        <v>4195</v>
      </c>
      <c r="X135" s="9"/>
    </row>
    <row r="136" spans="1:24" x14ac:dyDescent="0.3">
      <c r="A136" s="6">
        <v>45685</v>
      </c>
      <c r="B136" s="9">
        <v>18</v>
      </c>
      <c r="C136" s="9">
        <v>4</v>
      </c>
      <c r="D136" s="15" t="s">
        <v>7</v>
      </c>
      <c r="E136" s="15" t="s">
        <v>475</v>
      </c>
      <c r="F136" s="15"/>
      <c r="G136" s="15"/>
      <c r="H136" s="33" t="s">
        <v>20</v>
      </c>
      <c r="I136" s="33" t="s">
        <v>20</v>
      </c>
      <c r="J136" s="16" t="s">
        <v>5</v>
      </c>
      <c r="K136" s="15"/>
      <c r="L136" s="20" t="s">
        <v>24</v>
      </c>
      <c r="M136" s="20" t="s">
        <v>24</v>
      </c>
      <c r="N136" s="9"/>
      <c r="O136" s="9">
        <v>3837</v>
      </c>
      <c r="P136" s="9"/>
      <c r="Q136" s="9">
        <f>P136-O136</f>
        <v>-3837</v>
      </c>
      <c r="R136" s="9"/>
      <c r="S136" s="32"/>
      <c r="T136" s="9">
        <v>3474</v>
      </c>
      <c r="U136" s="11" t="s">
        <v>23</v>
      </c>
      <c r="V136" s="9">
        <f>500+T136</f>
        <v>3974</v>
      </c>
      <c r="W136" s="10">
        <f>V136-P136</f>
        <v>3974</v>
      </c>
      <c r="X136" s="9"/>
    </row>
    <row r="137" spans="1:24" x14ac:dyDescent="0.3">
      <c r="A137" s="6">
        <v>45685</v>
      </c>
      <c r="B137" s="9">
        <v>19</v>
      </c>
      <c r="C137" s="9">
        <v>5</v>
      </c>
      <c r="D137" s="15" t="s">
        <v>7</v>
      </c>
      <c r="E137" s="15" t="s">
        <v>475</v>
      </c>
      <c r="F137" s="15"/>
      <c r="G137" s="15"/>
      <c r="H137" s="33" t="s">
        <v>20</v>
      </c>
      <c r="I137" s="33" t="s">
        <v>20</v>
      </c>
      <c r="J137" s="16" t="s">
        <v>5</v>
      </c>
      <c r="K137" s="15"/>
      <c r="L137" s="20" t="s">
        <v>22</v>
      </c>
      <c r="M137" s="20" t="s">
        <v>22</v>
      </c>
      <c r="N137" s="9"/>
      <c r="O137" s="9">
        <v>5054</v>
      </c>
      <c r="P137" s="9"/>
      <c r="Q137" s="10">
        <f>P137-O137</f>
        <v>-5054</v>
      </c>
      <c r="R137" s="9"/>
      <c r="S137" s="32"/>
      <c r="T137" s="9">
        <v>4437</v>
      </c>
      <c r="U137" s="9" t="s">
        <v>21</v>
      </c>
      <c r="V137" s="9">
        <f>400+T137</f>
        <v>4837</v>
      </c>
      <c r="W137" s="18">
        <f>V137-P137</f>
        <v>4837</v>
      </c>
      <c r="X137" s="9"/>
    </row>
    <row r="138" spans="1:24" x14ac:dyDescent="0.3">
      <c r="A138" s="6">
        <v>45685</v>
      </c>
      <c r="B138" s="9">
        <v>20</v>
      </c>
      <c r="C138" s="9">
        <v>6</v>
      </c>
      <c r="D138" s="15" t="s">
        <v>7</v>
      </c>
      <c r="E138" s="15" t="s">
        <v>475</v>
      </c>
      <c r="F138" s="15"/>
      <c r="G138" s="15"/>
      <c r="H138" s="33" t="s">
        <v>20</v>
      </c>
      <c r="I138" s="33" t="s">
        <v>20</v>
      </c>
      <c r="J138" s="16" t="s">
        <v>5</v>
      </c>
      <c r="K138" s="15"/>
      <c r="L138" s="20" t="s">
        <v>19</v>
      </c>
      <c r="M138" s="20" t="s">
        <v>19</v>
      </c>
      <c r="N138" s="9"/>
      <c r="O138" s="9">
        <v>7570</v>
      </c>
      <c r="P138" s="9"/>
      <c r="Q138" s="10">
        <f>P138-O138</f>
        <v>-7570</v>
      </c>
      <c r="R138" s="9"/>
      <c r="S138" s="32"/>
      <c r="T138" s="9">
        <v>7289</v>
      </c>
      <c r="U138" s="9" t="s">
        <v>18</v>
      </c>
      <c r="V138" s="9">
        <f>500+T138</f>
        <v>7789</v>
      </c>
      <c r="W138" s="10">
        <f>V138-P138</f>
        <v>7789</v>
      </c>
      <c r="X138" s="9"/>
    </row>
    <row r="139" spans="1:24" x14ac:dyDescent="0.3">
      <c r="A139" s="6">
        <v>45685</v>
      </c>
      <c r="B139" s="9">
        <v>21</v>
      </c>
      <c r="C139" s="24">
        <v>1</v>
      </c>
      <c r="D139" s="16" t="s">
        <v>7</v>
      </c>
      <c r="E139" s="15" t="s">
        <v>475</v>
      </c>
      <c r="F139" s="31"/>
      <c r="G139" s="16"/>
      <c r="H139" s="15" t="s">
        <v>6</v>
      </c>
      <c r="I139" s="15" t="s">
        <v>6</v>
      </c>
      <c r="J139" s="16" t="s">
        <v>5</v>
      </c>
      <c r="K139" s="31"/>
      <c r="L139" s="14" t="s">
        <v>17</v>
      </c>
      <c r="M139" s="14" t="s">
        <v>17</v>
      </c>
      <c r="N139" s="30"/>
      <c r="O139" s="13">
        <v>11886.8</v>
      </c>
      <c r="P139" s="13"/>
      <c r="Q139" s="29">
        <f>P139-O139</f>
        <v>-11886.8</v>
      </c>
      <c r="R139" s="24"/>
      <c r="S139" s="23"/>
      <c r="T139" s="27"/>
      <c r="U139" s="28" t="s">
        <v>16</v>
      </c>
      <c r="V139" s="27"/>
      <c r="W139" s="26">
        <v>0</v>
      </c>
      <c r="X139" s="24"/>
    </row>
    <row r="140" spans="1:24" x14ac:dyDescent="0.3">
      <c r="A140" s="6">
        <v>45685</v>
      </c>
      <c r="B140" s="9">
        <v>22</v>
      </c>
      <c r="C140" s="9">
        <v>2</v>
      </c>
      <c r="D140" s="15" t="s">
        <v>7</v>
      </c>
      <c r="E140" s="15" t="s">
        <v>475</v>
      </c>
      <c r="F140" s="15"/>
      <c r="G140" s="15"/>
      <c r="H140" s="15" t="s">
        <v>6</v>
      </c>
      <c r="I140" s="15" t="s">
        <v>6</v>
      </c>
      <c r="J140" s="16" t="s">
        <v>5</v>
      </c>
      <c r="K140" s="15"/>
      <c r="L140" s="14" t="s">
        <v>15</v>
      </c>
      <c r="M140" s="14" t="s">
        <v>15</v>
      </c>
      <c r="N140" s="22"/>
      <c r="O140" s="13">
        <v>7890.5</v>
      </c>
      <c r="P140" s="13"/>
      <c r="Q140" s="9">
        <f>P140-O140</f>
        <v>-7890.5</v>
      </c>
      <c r="R140" s="24"/>
      <c r="S140" s="23"/>
      <c r="T140" s="9">
        <v>7017</v>
      </c>
      <c r="U140" s="11" t="s">
        <v>14</v>
      </c>
      <c r="V140" s="9">
        <f>500+T140</f>
        <v>7517</v>
      </c>
      <c r="W140" s="10">
        <f>V140-P140</f>
        <v>7517</v>
      </c>
      <c r="X140" s="9"/>
    </row>
    <row r="141" spans="1:24" x14ac:dyDescent="0.3">
      <c r="A141" s="6">
        <v>45685</v>
      </c>
      <c r="B141" s="9">
        <v>23</v>
      </c>
      <c r="C141" s="9">
        <v>3</v>
      </c>
      <c r="D141" s="15" t="s">
        <v>7</v>
      </c>
      <c r="E141" s="15" t="s">
        <v>475</v>
      </c>
      <c r="F141" s="15"/>
      <c r="G141" s="15"/>
      <c r="H141" s="15" t="s">
        <v>6</v>
      </c>
      <c r="I141" s="15" t="s">
        <v>6</v>
      </c>
      <c r="J141" s="16" t="s">
        <v>5</v>
      </c>
      <c r="K141" s="15"/>
      <c r="L141" s="25" t="s">
        <v>13</v>
      </c>
      <c r="M141" s="25" t="s">
        <v>13</v>
      </c>
      <c r="N141" s="22"/>
      <c r="O141" s="13">
        <v>6404.9</v>
      </c>
      <c r="P141" s="13"/>
      <c r="Q141" s="13">
        <f>P141-O141</f>
        <v>-6404.9</v>
      </c>
      <c r="R141" s="24"/>
      <c r="S141" s="23"/>
      <c r="T141" s="9">
        <v>5449</v>
      </c>
      <c r="U141" s="9" t="s">
        <v>12</v>
      </c>
      <c r="V141" s="9">
        <f>500+T141</f>
        <v>5949</v>
      </c>
      <c r="W141" s="10">
        <f>V141-P141</f>
        <v>5949</v>
      </c>
      <c r="X141" s="9"/>
    </row>
    <row r="142" spans="1:24" x14ac:dyDescent="0.3">
      <c r="A142" s="6">
        <v>45685</v>
      </c>
      <c r="B142" s="9">
        <v>24</v>
      </c>
      <c r="C142" s="9">
        <v>4</v>
      </c>
      <c r="D142" s="15" t="s">
        <v>7</v>
      </c>
      <c r="E142" s="15" t="s">
        <v>475</v>
      </c>
      <c r="F142" s="15"/>
      <c r="G142" s="15"/>
      <c r="H142" s="15" t="s">
        <v>6</v>
      </c>
      <c r="I142" s="15" t="s">
        <v>6</v>
      </c>
      <c r="J142" s="16" t="s">
        <v>5</v>
      </c>
      <c r="K142" s="15"/>
      <c r="L142" s="14" t="s">
        <v>11</v>
      </c>
      <c r="M142" s="14" t="s">
        <v>11</v>
      </c>
      <c r="N142" s="22"/>
      <c r="O142" s="13">
        <v>5878.5</v>
      </c>
      <c r="P142" s="13"/>
      <c r="Q142" s="9">
        <f>P142-O142</f>
        <v>-5878.5</v>
      </c>
      <c r="R142" s="9"/>
      <c r="S142" s="15"/>
      <c r="T142" s="9"/>
      <c r="U142" s="21">
        <v>45084</v>
      </c>
      <c r="V142" s="9"/>
      <c r="W142" s="18">
        <v>0</v>
      </c>
      <c r="X142" s="9"/>
    </row>
    <row r="143" spans="1:24" x14ac:dyDescent="0.3">
      <c r="A143" s="6">
        <v>45685</v>
      </c>
      <c r="B143" s="9">
        <v>4</v>
      </c>
      <c r="C143" s="9">
        <v>4</v>
      </c>
      <c r="D143" s="15" t="s">
        <v>7</v>
      </c>
      <c r="E143" s="15" t="s">
        <v>475</v>
      </c>
      <c r="F143" s="15"/>
      <c r="G143" s="15"/>
      <c r="H143" s="17" t="s">
        <v>6</v>
      </c>
      <c r="I143" s="17" t="s">
        <v>10</v>
      </c>
      <c r="J143" s="16" t="s">
        <v>5</v>
      </c>
      <c r="K143" s="15"/>
      <c r="L143" s="20" t="s">
        <v>9</v>
      </c>
      <c r="M143" s="20" t="s">
        <v>9</v>
      </c>
      <c r="N143" s="19"/>
      <c r="O143" s="9">
        <v>6701</v>
      </c>
      <c r="P143" s="9"/>
      <c r="Q143" s="9">
        <f>P143-O143</f>
        <v>-6701</v>
      </c>
      <c r="R143" s="12"/>
      <c r="S143" s="15"/>
      <c r="T143" s="9">
        <v>5673</v>
      </c>
      <c r="U143" s="11" t="s">
        <v>8</v>
      </c>
      <c r="V143" s="9">
        <f>500+T143</f>
        <v>6173</v>
      </c>
      <c r="W143" s="18">
        <f>V143-P143</f>
        <v>6173</v>
      </c>
      <c r="X143" s="9"/>
    </row>
    <row r="144" spans="1:24" x14ac:dyDescent="0.3">
      <c r="A144" s="6">
        <v>45685</v>
      </c>
      <c r="B144" s="9">
        <v>25</v>
      </c>
      <c r="C144" s="9">
        <v>5</v>
      </c>
      <c r="D144" s="15" t="s">
        <v>7</v>
      </c>
      <c r="E144" s="15" t="s">
        <v>475</v>
      </c>
      <c r="F144" s="15"/>
      <c r="G144" s="15"/>
      <c r="H144" s="17" t="s">
        <v>6</v>
      </c>
      <c r="I144" s="17" t="s">
        <v>6</v>
      </c>
      <c r="J144" s="16" t="s">
        <v>5</v>
      </c>
      <c r="K144" s="15"/>
      <c r="L144" s="14" t="s">
        <v>4</v>
      </c>
      <c r="M144" s="14" t="s">
        <v>4</v>
      </c>
      <c r="N144" s="9"/>
      <c r="O144" s="13">
        <v>3375.5</v>
      </c>
      <c r="P144" s="13"/>
      <c r="Q144" s="13">
        <f>P144-O144</f>
        <v>-3375.5</v>
      </c>
      <c r="R144" s="12"/>
      <c r="S144" s="9"/>
      <c r="T144" s="9">
        <v>2707</v>
      </c>
      <c r="U144" s="11" t="s">
        <v>3</v>
      </c>
      <c r="V144" s="9">
        <f>500+T144</f>
        <v>3207</v>
      </c>
      <c r="W144" s="10">
        <f>V144-P144</f>
        <v>3207</v>
      </c>
      <c r="X144" s="9"/>
    </row>
    <row r="145" spans="1:19" ht="15.6" x14ac:dyDescent="0.3">
      <c r="A145" s="6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7"/>
      <c r="O145" s="7"/>
      <c r="P145" s="7"/>
      <c r="Q145" s="7"/>
      <c r="R145" s="7"/>
      <c r="S145" s="7"/>
    </row>
    <row r="146" spans="1:19" x14ac:dyDescent="0.3">
      <c r="A146" s="6"/>
    </row>
    <row r="147" spans="1:19" x14ac:dyDescent="0.3">
      <c r="A147" s="6"/>
    </row>
    <row r="148" spans="1:19" x14ac:dyDescent="0.3">
      <c r="A148" s="6"/>
    </row>
    <row r="149" spans="1:19" x14ac:dyDescent="0.3">
      <c r="A149" s="6"/>
    </row>
    <row r="150" spans="1:19" x14ac:dyDescent="0.3">
      <c r="A150" s="6"/>
    </row>
    <row r="151" spans="1:19" x14ac:dyDescent="0.3">
      <c r="A151" s="6"/>
    </row>
    <row r="152" spans="1:19" x14ac:dyDescent="0.3">
      <c r="A152" s="6"/>
    </row>
    <row r="153" spans="1:19" x14ac:dyDescent="0.3">
      <c r="A153" s="6"/>
    </row>
    <row r="154" spans="1:19" x14ac:dyDescent="0.3">
      <c r="A154" s="6"/>
    </row>
    <row r="155" spans="1:19" x14ac:dyDescent="0.3">
      <c r="A155" s="6"/>
    </row>
    <row r="156" spans="1:19" x14ac:dyDescent="0.3">
      <c r="A156" s="6"/>
    </row>
    <row r="157" spans="1:19" x14ac:dyDescent="0.3">
      <c r="A157" s="6"/>
    </row>
    <row r="158" spans="1:19" x14ac:dyDescent="0.3">
      <c r="A158" s="6"/>
    </row>
    <row r="159" spans="1:19" x14ac:dyDescent="0.3">
      <c r="A159" s="6"/>
    </row>
    <row r="160" spans="1:19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200" spans="9:11" x14ac:dyDescent="0.3">
      <c r="I200" s="5" t="s">
        <v>2</v>
      </c>
      <c r="J200" s="5" t="s">
        <v>1</v>
      </c>
      <c r="K200" s="5" t="s">
        <v>0</v>
      </c>
    </row>
  </sheetData>
  <autoFilter ref="A1:X144" xr:uid="{00000000-0009-0000-0000-00001F000000}"/>
  <mergeCells count="3">
    <mergeCell ref="O20:P20"/>
    <mergeCell ref="O45:P45"/>
    <mergeCell ref="O70:P7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28-02-2025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goswami.jijau@gmail.com</dc:creator>
  <cp:lastModifiedBy>goswami.jijau@gmail.com</cp:lastModifiedBy>
  <dcterms:created xsi:type="dcterms:W3CDTF">2026-10-05T17:47:15Z</dcterms:created>
  <dcterms:modified xsi:type="dcterms:W3CDTF">2026-10-05T17:52:15Z</dcterms:modified>
</cp:coreProperties>
</file>